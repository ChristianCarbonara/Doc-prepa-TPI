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H:\TPI\Documentation\"/>
    </mc:Choice>
  </mc:AlternateContent>
  <bookViews>
    <workbookView xWindow="0" yWindow="0" windowWidth="25200" windowHeight="11850" activeTab="4"/>
  </bookViews>
  <sheets>
    <sheet name="Donnees" sheetId="7" r:id="rId1"/>
    <sheet name="DiagramHeader" sheetId="10" state="hidden" r:id="rId2"/>
    <sheet name="DiagramFooter" sheetId="130" state="hidden" r:id="rId3"/>
    <sheet name="PlanificationWeek" sheetId="11" state="hidden" r:id="rId4"/>
    <sheet name="Planning" sheetId="155" r:id="rId5"/>
    <sheet name="achievementWeek" sheetId="154" state="hidden" r:id="rId6"/>
    <sheet name="JNLTRAV" sheetId="156" r:id="rId7"/>
  </sheets>
  <definedNames>
    <definedName name="datDateBegin">Donnees!$C$9</definedName>
    <definedName name="lstTasks">Donnees!$C$20:$C$45</definedName>
    <definedName name="NbPerWeek">Donnees!$C$12</definedName>
    <definedName name="NbQuartPer">Donnees!$C$13</definedName>
    <definedName name="NbWeeks">Donnees!$C$11</definedName>
    <definedName name="objFooterDiagram">DiagramFooter!$B$3:$C$4</definedName>
    <definedName name="objPlanifWeek" localSheetId="4">Planning!$A$1:$D$24</definedName>
    <definedName name="objPlanifWeek">PlanificationWeek!$A$1:$D$14</definedName>
    <definedName name="objRealizedWeek" localSheetId="5">achievementWeek!$A$1:$D$19</definedName>
    <definedName name="objRealizedWeek" localSheetId="6">JNLTRAV!$A$1:$D$21</definedName>
    <definedName name="_xlnm.Print_Area" localSheetId="0">Donnees!$A$1:$G$47</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20" i="156" l="1"/>
  <c r="B58" i="155" l="1"/>
  <c r="B55" i="155"/>
  <c r="B129" i="155"/>
  <c r="B123" i="155"/>
  <c r="B118" i="155"/>
  <c r="B112" i="155"/>
  <c r="B101" i="155"/>
  <c r="B95" i="155"/>
  <c r="B89" i="155"/>
  <c r="B83" i="155"/>
  <c r="B71" i="155"/>
  <c r="B65" i="155"/>
  <c r="B44" i="155"/>
  <c r="B38" i="155"/>
  <c r="B14" i="156"/>
  <c r="B32" i="155"/>
  <c r="B27" i="155"/>
  <c r="B8" i="156"/>
  <c r="B85" i="156"/>
  <c r="B82" i="156"/>
  <c r="B79" i="156"/>
  <c r="B76" i="156"/>
  <c r="B73" i="156"/>
  <c r="B69" i="156"/>
  <c r="B66" i="156"/>
  <c r="B63" i="156"/>
  <c r="B60" i="156"/>
  <c r="B57" i="156"/>
  <c r="B53" i="156"/>
  <c r="B50" i="156"/>
  <c r="B47" i="156"/>
  <c r="B44" i="156"/>
  <c r="B41" i="156"/>
  <c r="B37" i="156"/>
  <c r="B34" i="156"/>
  <c r="B31" i="156"/>
  <c r="B28" i="156"/>
  <c r="B24" i="156"/>
  <c r="B17" i="156"/>
  <c r="B3" i="156"/>
  <c r="B19" i="155"/>
  <c r="B15" i="155"/>
  <c r="B8" i="155"/>
  <c r="B3" i="155"/>
  <c r="D1" i="156"/>
  <c r="D22" i="156" s="1"/>
  <c r="D39" i="156" s="1"/>
  <c r="B132" i="155" l="1"/>
  <c r="B108" i="155"/>
  <c r="B79" i="155"/>
  <c r="B51" i="155"/>
  <c r="B23" i="155"/>
  <c r="D55" i="156"/>
  <c r="D71" i="156" s="1"/>
  <c r="B18" i="154"/>
  <c r="B13" i="11" l="1"/>
</calcChain>
</file>

<file path=xl/sharedStrings.xml><?xml version="1.0" encoding="utf-8"?>
<sst xmlns="http://schemas.openxmlformats.org/spreadsheetml/2006/main" count="379" uniqueCount="134">
  <si>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</si>
  <si>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</si>
  <si>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</si>
  <si>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</si>
  <si>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</si>
  <si>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</si>
  <si>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</si>
  <si>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</si>
  <si>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</si>
  <si>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</si>
  <si>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</si>
  <si>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</si>
  <si>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</si>
  <si>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</si>
  <si>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</si>
  <si>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</si>
  <si>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</si>
  <si>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</si>
  <si>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</si>
  <si>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</si>
  <si>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</si>
  <si>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</si>
  <si>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</si>
  <si>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</si>
  <si>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Christian Carbonara</t>
  </si>
  <si>
    <t>CIN4B</t>
  </si>
  <si>
    <t>ETML</t>
  </si>
  <si>
    <t>Journal de travail</t>
  </si>
  <si>
    <t>Rapport</t>
  </si>
  <si>
    <t>Tests</t>
  </si>
  <si>
    <t>Recherche</t>
  </si>
  <si>
    <t>Entretien</t>
  </si>
  <si>
    <t>Backup</t>
  </si>
  <si>
    <t>Manuel d'utilisation</t>
  </si>
  <si>
    <t>STOP</t>
  </si>
  <si>
    <t>Max. 12 (3h)</t>
  </si>
  <si>
    <t>Max. 27 (4h45)</t>
  </si>
  <si>
    <t>Max. 24 (4h)</t>
  </si>
  <si>
    <t>Max. 90 (22h30)</t>
  </si>
  <si>
    <t>Planification initiale</t>
  </si>
  <si>
    <t>Planification finale</t>
  </si>
  <si>
    <t>Congé - Vacances</t>
  </si>
  <si>
    <t>Ascension</t>
  </si>
  <si>
    <t>Pont avec l'Ascension</t>
  </si>
  <si>
    <t>Entretien concernant le TPI.</t>
  </si>
  <si>
    <t>Création de la planification initiale et mise à jour.</t>
  </si>
  <si>
    <t>Création du journal de travail et mise à jour.</t>
  </si>
  <si>
    <t>Finalisation de la planification initiale.</t>
  </si>
  <si>
    <t>Mise à jour du journal de travail.</t>
  </si>
  <si>
    <t>Ascension.</t>
  </si>
  <si>
    <t>Pont avec l'Ascension.</t>
  </si>
  <si>
    <t>Lien pour les critères d'évaluation :
http://www.tpivd.ch/index.php/documentation-tpi-cfc-ordo-2014/pour-expert/annexe-5-evalutation</t>
  </si>
  <si>
    <t>Recherche sur le site tpivd.ch pour lire les critères d'évaluation.</t>
  </si>
  <si>
    <t>Joutes sportives</t>
  </si>
  <si>
    <t>Coder pour convertir</t>
  </si>
  <si>
    <t>Coder pour additionner</t>
  </si>
  <si>
    <t>Coder pour soustraire</t>
  </si>
  <si>
    <t>Coder le programme</t>
  </si>
  <si>
    <t>Jeudi - 7 juin</t>
  </si>
  <si>
    <t>Vendredi - 8 juin</t>
  </si>
  <si>
    <t>Mercredi - 6 juin</t>
  </si>
  <si>
    <t>Lundi - 4 juin</t>
  </si>
  <si>
    <t>Lundi - 28 mai</t>
  </si>
  <si>
    <t>Mercredi - 30 mai</t>
  </si>
  <si>
    <t>Jeudi - 31 mai</t>
  </si>
  <si>
    <t>Vendredi - 1 juin</t>
  </si>
  <si>
    <t>Lundi - 21 mai</t>
  </si>
  <si>
    <t>Mercredi - 23 mai</t>
  </si>
  <si>
    <t>Jeudi - 24 mai</t>
  </si>
  <si>
    <t>Vendredi - 25 mai</t>
  </si>
  <si>
    <t>Lundi - 14 mai</t>
  </si>
  <si>
    <t>Mercredi - 16 mai</t>
  </si>
  <si>
    <t>Jeudi - 17 mai</t>
  </si>
  <si>
    <t>Vendredi - 18 mai</t>
  </si>
  <si>
    <t>Lundi - 7 mai</t>
  </si>
  <si>
    <t>Mercredi - 9 mai</t>
  </si>
  <si>
    <t>Jeudi - 10 mai</t>
  </si>
  <si>
    <t>Vendredi - 11 mai</t>
  </si>
  <si>
    <t>Mise à jour du journal de travail.
Modification et adaptation de la mise en page :
- Pour montrer le travail effectué par jour avec le temps maximum possible
- Que le temps total par jour soit affiché avec la date du jour</t>
  </si>
  <si>
    <t>Avancement de la planification initiale.
Modification et adaptation de la mise en page :
- Pour montrer le travail effectué par jour avec le temps maximum possible
- Que le temps total par jour soit affiché avec la date du jour</t>
  </si>
  <si>
    <t>Réalisation de croquis</t>
  </si>
  <si>
    <t>Finalisation des croquis du programme.</t>
  </si>
  <si>
    <t>Lundi de Pentecôte.</t>
  </si>
  <si>
    <t>Entretien avec M. Gruaz concernant l'avancement du projet.</t>
  </si>
  <si>
    <t>Création du rapport, rédaction de la partie Analyse et Planification initiale, mise à jour avec les informations reçu.</t>
  </si>
  <si>
    <t>Joutes sportives.</t>
  </si>
  <si>
    <t>Finalisation de la partie Analyse, planification initiale.</t>
  </si>
  <si>
    <t>Création de croquis avec Visio ou un autre logiciel pour le programme, emplacement des boutons, fonctionnalités, onglets, différentes pages, etc…</t>
  </si>
  <si>
    <t>Création du programme avec les norme ETML et des commentaires.
Mise en place de l'interface pour convertir et préparation pour les futurs opérations (addition, soustraction, etc…).
Ajout d'options pour choisir entre les conversions.
Ajout de commentaire.</t>
  </si>
  <si>
    <t xml:space="preserve">Recherche concernant la conversion du décimal au binaire et inversement.
</t>
  </si>
  <si>
    <t>Mettre en place les paramètres et le code pour convertir du décimal à binaire et inversement.</t>
  </si>
  <si>
    <t>Finalisation et correction du code pour convertir de décimal à binaire et inversement.
Ajout de conversion en octal et hexadécimale.</t>
  </si>
  <si>
    <t>Création du rapport.</t>
  </si>
  <si>
    <t>Journal de travail :
TPI/Documentation/T-TPI-carbonarch-JNLTRAV.xlsm</t>
  </si>
  <si>
    <t>Planification:
TPI/Documentation/T-TPI-carbonarch-JNLTRAV.xlsm</t>
  </si>
  <si>
    <t>Rapport de projet : 
TPI/Documentation/R-TPI-carbonarch-Rapport_de_projet.docx</t>
  </si>
  <si>
    <t>Recherche concernant la conversion en octal et hexadécimale.</t>
  </si>
  <si>
    <t>Avancement dans le programme.</t>
  </si>
  <si>
    <t>Finalisation de la conversion en octal et hexadécimale.</t>
  </si>
  <si>
    <t>Création du croquis pour les additions.</t>
  </si>
  <si>
    <t>Correction du code, vérification du bon fonctionnement et ajustement au norme ETML.
Amélioration si possible.</t>
  </si>
  <si>
    <t>Avancement du rapport avec les éléments actuel.</t>
  </si>
  <si>
    <t>Mise en place de l'interface pour additionner.</t>
  </si>
  <si>
    <t>Création du croquis pour soustraire.</t>
  </si>
  <si>
    <t>Correction du code si nécessaire et préparation de l'interface pour soustraire.</t>
  </si>
  <si>
    <t>Avancement du rapport avec les éléments actuels.</t>
  </si>
  <si>
    <t>Recherche sur un moyen d'additionner 2 nombres binaire.</t>
  </si>
  <si>
    <t>Recherche pour additionner avec 2 nombres binaire, octaux et hexadécimaux.</t>
  </si>
  <si>
    <t>Avancement dans l'addition avec 2 nombre binaire.</t>
  </si>
  <si>
    <t>Préparation pour soustraire 2 nombres binaires.</t>
  </si>
  <si>
    <t>Création du manuel d'utilisation.</t>
  </si>
  <si>
    <t>Fin du projet</t>
  </si>
  <si>
    <t>Mise à jour du journal de travail avec correction si nécessaire.</t>
  </si>
  <si>
    <t>Avancement dans le code avec correction.</t>
  </si>
  <si>
    <t>Avancement du code avec correction.</t>
  </si>
  <si>
    <t>Recherche pour soustraire 2 nombres binaires.</t>
  </si>
  <si>
    <t>Recherche pour soustraire 2 nombres binaires, octaux et hexadécimaux.</t>
  </si>
  <si>
    <t>Test sur le bon fonctionnement du programme.</t>
  </si>
  <si>
    <t>Avancement du code pour soustraire 2 nombres binaires, octaux et hexadécimaux.</t>
  </si>
  <si>
    <t>Finalisation du code pour soustraire 2 nombres binaires, octaux et hexadécimaux.</t>
  </si>
  <si>
    <t>Avancement dans le manuel d'utilisation.</t>
  </si>
  <si>
    <t>Avancement de le rapport avec les informations actuels.
Vérification et correction du rapport.</t>
  </si>
  <si>
    <t>Test sur le bon fonctionnement du code.</t>
  </si>
  <si>
    <t>Vérification du code et correction si nécessaire.</t>
  </si>
  <si>
    <t>Avancement dans le rapport.</t>
  </si>
  <si>
    <t>Finalisation du manuel d'utilisation.</t>
  </si>
  <si>
    <t>Finalisation du rapport.</t>
  </si>
  <si>
    <t>Avancement du manuel d'utilisation.</t>
  </si>
  <si>
    <t>Vérification du rapport et correction si nécessaire.</t>
  </si>
  <si>
    <t>Vérification du manuel d'utilisation et correction si nécessaire.</t>
  </si>
  <si>
    <t>Projet terminé et rendu.</t>
  </si>
  <si>
    <t>Vérification que tout soit en ordre, envoie du projet au chef de projet et aux experts.</t>
  </si>
  <si>
    <t>Finalisation pour additionner avec 2 nombres binaires, octaux et hexadécimaux.</t>
  </si>
  <si>
    <t>Correction, vérification du code et ajustement si nécessaire.
Vérification des normes de codage de l'ETML.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</si>
</sst>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18"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
      <i/>
      <sz val="11"/>
      <name val="Century Gothic"/>
      <family val="2"/>
      <scheme val="minor"/>
    </font>
  </fonts>
  <fills count="15">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4" tint="0.59999389629810485"/>
        <bgColor indexed="64"/>
      </patternFill>
    </fill>
  </fills>
  <borders count="43">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style="medium">
        <color indexed="64"/>
      </left>
      <right style="medium">
        <color indexed="64"/>
      </right>
      <top/>
      <bottom style="dashed">
        <color indexed="64"/>
      </bottom>
      <diagonal/>
    </border>
    <border>
      <left style="medium">
        <color indexed="64"/>
      </left>
      <right style="medium">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style="medium">
        <color indexed="64"/>
      </right>
      <top style="thin">
        <color indexed="64"/>
      </top>
      <bottom style="dashed">
        <color indexed="64"/>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140">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NumberFormat="1" applyFont="1" applyFill="1" applyBorder="1" applyAlignment="1" applyProtection="1">
      <alignment horizontal="left" vertical="center"/>
      <protection locked="0"/>
    </xf>
    <xf numFmtId="0" fontId="9" fillId="4" borderId="13" xfId="0" applyFont="1" applyFill="1" applyBorder="1" applyAlignment="1" applyProtection="1">
      <alignment horizontal="left" vertical="top" wrapText="1"/>
    </xf>
    <xf numFmtId="0" fontId="16" fillId="9" borderId="0" xfId="0" applyFont="1" applyFill="1"/>
    <xf numFmtId="0" fontId="9" fillId="12" borderId="13" xfId="0" applyFont="1" applyFill="1" applyBorder="1" applyAlignment="1" applyProtection="1">
      <alignment horizontal="left" vertical="top" wrapText="1"/>
    </xf>
    <xf numFmtId="0" fontId="0" fillId="0" borderId="2" xfId="1" applyFont="1" applyFill="1" applyBorder="1" applyAlignment="1" applyProtection="1">
      <alignment horizontal="center" vertical="center" wrapText="1"/>
      <protection locked="0"/>
    </xf>
    <xf numFmtId="0" fontId="0" fillId="0" borderId="34" xfId="1" applyFont="1" applyFill="1" applyBorder="1" applyAlignment="1" applyProtection="1">
      <alignment horizontal="center" vertical="center" wrapText="1"/>
      <protection locked="0"/>
    </xf>
    <xf numFmtId="0" fontId="8" fillId="0" borderId="34" xfId="0" applyFont="1" applyFill="1" applyBorder="1" applyAlignment="1" applyProtection="1">
      <alignment horizontal="center" vertical="center" wrapText="1"/>
      <protection locked="0"/>
    </xf>
    <xf numFmtId="0" fontId="8" fillId="0" borderId="34" xfId="0" applyFont="1" applyFill="1" applyBorder="1" applyAlignment="1" applyProtection="1">
      <alignment horizontal="left" vertical="top" wrapText="1"/>
      <protection locked="0"/>
    </xf>
    <xf numFmtId="0" fontId="8" fillId="0" borderId="33" xfId="1" applyFont="1" applyFill="1" applyBorder="1" applyAlignment="1" applyProtection="1">
      <alignment horizontal="center" vertical="center" wrapText="1"/>
      <protection locked="0"/>
    </xf>
    <xf numFmtId="0" fontId="8" fillId="0" borderId="34" xfId="1" applyFont="1" applyFill="1" applyBorder="1" applyAlignment="1" applyProtection="1">
      <alignment horizontal="center" vertical="center" wrapText="1"/>
      <protection locked="0"/>
    </xf>
    <xf numFmtId="0" fontId="0" fillId="0" borderId="2" xfId="0" applyFont="1" applyFill="1" applyBorder="1" applyAlignment="1" applyProtection="1">
      <alignment horizontal="center" vertical="center" wrapText="1"/>
      <protection locked="0"/>
    </xf>
    <xf numFmtId="0" fontId="0" fillId="0" borderId="33" xfId="0" applyFont="1" applyFill="1" applyBorder="1" applyAlignment="1" applyProtection="1">
      <alignment horizontal="center" vertical="center" wrapText="1"/>
      <protection locked="0"/>
    </xf>
    <xf numFmtId="0" fontId="8" fillId="0" borderId="35" xfId="0" applyFont="1" applyFill="1" applyBorder="1" applyAlignment="1" applyProtection="1">
      <alignment horizontal="center" vertical="center" wrapText="1"/>
      <protection locked="0"/>
    </xf>
    <xf numFmtId="0" fontId="8" fillId="0" borderId="35"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17" fillId="14" borderId="36" xfId="1" applyFont="1" applyFill="1" applyBorder="1" applyAlignment="1" applyProtection="1">
      <alignment horizontal="center" vertical="center" wrapText="1"/>
      <protection locked="0"/>
    </xf>
    <xf numFmtId="0" fontId="17" fillId="14" borderId="38" xfId="0" applyFont="1" applyFill="1" applyBorder="1" applyAlignment="1" applyProtection="1">
      <alignment horizontal="left" vertical="top" wrapText="1"/>
      <protection locked="0"/>
    </xf>
    <xf numFmtId="0" fontId="17" fillId="14" borderId="39" xfId="1" applyFont="1" applyFill="1" applyBorder="1" applyAlignment="1" applyProtection="1">
      <alignment horizontal="center" vertical="center" wrapText="1"/>
      <protection locked="0"/>
    </xf>
    <xf numFmtId="0" fontId="17" fillId="14" borderId="41" xfId="0" applyFont="1" applyFill="1" applyBorder="1" applyAlignment="1" applyProtection="1">
      <alignment horizontal="left" vertical="top" wrapText="1"/>
      <protection locked="0"/>
    </xf>
    <xf numFmtId="0" fontId="17" fillId="14" borderId="36" xfId="0" applyFont="1" applyFill="1" applyBorder="1" applyAlignment="1" applyProtection="1">
      <alignment horizontal="center" vertical="center" wrapText="1"/>
      <protection locked="0"/>
    </xf>
    <xf numFmtId="0" fontId="8" fillId="14" borderId="40" xfId="0" applyFont="1" applyFill="1" applyBorder="1" applyAlignment="1" applyProtection="1">
      <alignment horizontal="left" vertical="top" wrapText="1"/>
      <protection locked="0"/>
    </xf>
    <xf numFmtId="0" fontId="8" fillId="14" borderId="41" xfId="0" applyFont="1" applyFill="1" applyBorder="1" applyAlignment="1" applyProtection="1">
      <alignment horizontal="left" vertical="top" wrapText="1"/>
      <protection locked="0"/>
    </xf>
    <xf numFmtId="0" fontId="8" fillId="14" borderId="38" xfId="0" applyFont="1" applyFill="1" applyBorder="1" applyAlignment="1" applyProtection="1">
      <alignment horizontal="left" vertical="top" wrapText="1"/>
      <protection locked="0"/>
    </xf>
    <xf numFmtId="0" fontId="0" fillId="0" borderId="34" xfId="0" applyFont="1" applyFill="1" applyBorder="1" applyAlignment="1" applyProtection="1">
      <alignment horizontal="left" vertical="top" wrapText="1"/>
      <protection locked="0"/>
    </xf>
    <xf numFmtId="0" fontId="0" fillId="0" borderId="35" xfId="1" applyFont="1" applyFill="1" applyBorder="1" applyAlignment="1" applyProtection="1">
      <alignment horizontal="center" vertical="center" wrapText="1"/>
      <protection locked="0"/>
    </xf>
    <xf numFmtId="0" fontId="0" fillId="0" borderId="35" xfId="0" applyFont="1" applyFill="1" applyBorder="1" applyAlignment="1" applyProtection="1">
      <alignment horizontal="left" vertical="top" wrapText="1"/>
      <protection locked="0"/>
    </xf>
    <xf numFmtId="0" fontId="0" fillId="14" borderId="40" xfId="0" applyFont="1" applyFill="1" applyBorder="1" applyAlignment="1" applyProtection="1">
      <alignment horizontal="left" vertical="top" wrapText="1"/>
      <protection locked="0"/>
    </xf>
    <xf numFmtId="0" fontId="0" fillId="14" borderId="37" xfId="0" applyFont="1" applyFill="1" applyBorder="1" applyAlignment="1" applyProtection="1">
      <alignment horizontal="left" vertical="top" wrapText="1"/>
      <protection locked="0"/>
    </xf>
    <xf numFmtId="0" fontId="0" fillId="0" borderId="34" xfId="0" applyFont="1" applyFill="1" applyBorder="1" applyAlignment="1" applyProtection="1">
      <alignment horizontal="center" vertical="center" wrapText="1"/>
      <protection locked="0"/>
    </xf>
    <xf numFmtId="0" fontId="17" fillId="13" borderId="36" xfId="0" applyFont="1" applyFill="1" applyBorder="1" applyAlignment="1" applyProtection="1">
      <alignment horizontal="center" vertical="center" wrapText="1"/>
      <protection locked="0"/>
    </xf>
    <xf numFmtId="0" fontId="8" fillId="13" borderId="37" xfId="0" applyFont="1" applyFill="1" applyBorder="1" applyAlignment="1" applyProtection="1">
      <alignment horizontal="center" vertical="center" wrapText="1"/>
      <protection locked="0"/>
    </xf>
    <xf numFmtId="0" fontId="0" fillId="13" borderId="37" xfId="0" applyFont="1" applyFill="1" applyBorder="1" applyAlignment="1" applyProtection="1">
      <alignment horizontal="left" vertical="top" wrapText="1"/>
      <protection locked="0"/>
    </xf>
    <xf numFmtId="0" fontId="8" fillId="13" borderId="38" xfId="0" applyFont="1" applyFill="1" applyBorder="1" applyAlignment="1" applyProtection="1">
      <alignment horizontal="left" vertical="top" wrapText="1"/>
      <protection locked="0"/>
    </xf>
    <xf numFmtId="0" fontId="17" fillId="13" borderId="36" xfId="1" applyFont="1" applyFill="1" applyBorder="1" applyAlignment="1" applyProtection="1">
      <alignment horizontal="center" vertical="center" wrapText="1"/>
      <protection locked="0"/>
    </xf>
    <xf numFmtId="0" fontId="17" fillId="13" borderId="39" xfId="1" applyFont="1" applyFill="1" applyBorder="1" applyAlignment="1" applyProtection="1">
      <alignment horizontal="center" vertical="center" wrapText="1"/>
      <protection locked="0"/>
    </xf>
    <xf numFmtId="0" fontId="8" fillId="13" borderId="40" xfId="0" applyFont="1" applyFill="1" applyBorder="1" applyAlignment="1" applyProtection="1">
      <alignment horizontal="center" vertical="center" wrapText="1"/>
      <protection locked="0"/>
    </xf>
    <xf numFmtId="0" fontId="0" fillId="13" borderId="40" xfId="0" applyFont="1" applyFill="1" applyBorder="1" applyAlignment="1" applyProtection="1">
      <alignment horizontal="left" vertical="top" wrapText="1"/>
      <protection locked="0"/>
    </xf>
    <xf numFmtId="0" fontId="8" fillId="13" borderId="41" xfId="0" applyFont="1" applyFill="1" applyBorder="1" applyAlignment="1" applyProtection="1">
      <alignment horizontal="left" vertical="top" wrapText="1"/>
      <protection locked="0"/>
    </xf>
    <xf numFmtId="0" fontId="0" fillId="14" borderId="40" xfId="0" applyFont="1" applyFill="1" applyBorder="1" applyAlignment="1" applyProtection="1">
      <alignment horizontal="center" vertical="center" wrapText="1"/>
      <protection locked="0"/>
    </xf>
    <xf numFmtId="0" fontId="0" fillId="0" borderId="35" xfId="0" applyFont="1" applyFill="1" applyBorder="1" applyAlignment="1" applyProtection="1">
      <alignment horizontal="center" vertical="center" wrapText="1"/>
      <protection locked="0"/>
    </xf>
    <xf numFmtId="0" fontId="0" fillId="14" borderId="37" xfId="0" applyFont="1" applyFill="1" applyBorder="1" applyAlignment="1" applyProtection="1">
      <alignment horizontal="center" vertical="center" wrapText="1"/>
      <protection locked="0"/>
    </xf>
    <xf numFmtId="0" fontId="0" fillId="0" borderId="3" xfId="0" applyFont="1" applyFill="1" applyBorder="1" applyAlignment="1" applyProtection="1">
      <alignment horizontal="center" vertical="center" wrapText="1"/>
      <protection locked="0"/>
    </xf>
    <xf numFmtId="0" fontId="0" fillId="4" borderId="15" xfId="0" applyFont="1" applyFill="1" applyBorder="1" applyAlignment="1" applyProtection="1">
      <alignment horizontal="center" vertical="center" wrapText="1"/>
    </xf>
    <xf numFmtId="0" fontId="0" fillId="9" borderId="0" xfId="0" applyFont="1" applyFill="1"/>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0" fontId="2" fillId="7" borderId="20" xfId="0" applyFont="1" applyFill="1" applyBorder="1" applyAlignment="1" applyProtection="1">
      <alignment horizontal="left" vertical="center" indent="1"/>
    </xf>
    <xf numFmtId="0" fontId="0" fillId="7" borderId="19" xfId="0" applyFill="1" applyBorder="1"/>
    <xf numFmtId="0" fontId="0" fillId="0" borderId="33" xfId="0" applyFont="1" applyFill="1" applyBorder="1" applyAlignment="1" applyProtection="1">
      <alignment horizontal="left" vertical="top" wrapText="1"/>
      <protection locked="0"/>
    </xf>
    <xf numFmtId="0" fontId="8" fillId="0" borderId="42" xfId="1" applyFont="1" applyFill="1" applyBorder="1" applyAlignment="1" applyProtection="1">
      <alignment horizontal="center" vertical="center" wrapText="1"/>
      <protection locked="0"/>
    </xf>
    <xf numFmtId="0" fontId="0" fillId="0" borderId="42" xfId="0" applyFont="1" applyFill="1" applyBorder="1" applyAlignment="1" applyProtection="1">
      <alignment horizontal="center" vertical="center" wrapText="1"/>
      <protection locked="0"/>
    </xf>
    <xf numFmtId="0" fontId="8" fillId="0" borderId="42" xfId="0" applyFont="1" applyFill="1" applyBorder="1" applyAlignment="1" applyProtection="1">
      <alignment horizontal="left" vertical="top" wrapText="1"/>
      <protection locked="0"/>
    </xf>
    <xf numFmtId="0" fontId="0" fillId="0" borderId="42" xfId="0" applyFont="1" applyFill="1" applyBorder="1" applyAlignment="1" applyProtection="1">
      <alignment horizontal="left" vertical="top" wrapText="1"/>
      <protection locked="0"/>
    </xf>
  </cellXfs>
  <cellStyles count="4">
    <cellStyle name="Lien hypertexte" xfId="1" builtinId="8"/>
    <cellStyle name="Normal" xfId="0" builtinId="0" customBuiltin="1"/>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1985" name="btnImportPlanification" hidden="1">
              <a:extLst>
                <a:ext uri="{63B3BB69-23CF-44E3-9099-C40C66FF867C}">
                  <a14:compatExt spid="_x0000_s419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3009" name="btnImportRealisation"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7.emf"/><Relationship Id="rId4" Type="http://schemas.openxmlformats.org/officeDocument/2006/relationships/control" Target="../activeX/activeX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8.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pageSetUpPr fitToPage="1"/>
  </sheetPr>
  <dimension ref="A1:M73"/>
  <sheetViews>
    <sheetView view="pageBreakPreview" topLeftCell="A13" zoomScaleNormal="100" zoomScaleSheetLayoutView="100" workbookViewId="0">
      <selection activeCell="C36" sqref="C36"/>
    </sheetView>
  </sheetViews>
  <sheetFormatPr baseColWidth="10" defaultColWidth="11.5703125" defaultRowHeight="13.5" x14ac:dyDescent="0.25"/>
  <cols>
    <col min="1" max="1" width="16.5703125" style="58" customWidth="1"/>
    <col min="2" max="2" width="55.140625" style="58" customWidth="1"/>
    <col min="3" max="3" width="88.5703125" style="58" customWidth="1"/>
    <col min="4" max="4" width="3.42578125" style="58" customWidth="1"/>
    <col min="5" max="6" width="11.5703125" style="58"/>
    <col min="7" max="7" width="3.28515625" style="58" customWidth="1"/>
    <col min="8" max="16384" width="11.5703125" style="58"/>
  </cols>
  <sheetData>
    <row r="1" spans="1:7" x14ac:dyDescent="0.25">
      <c r="A1" s="55"/>
      <c r="B1" s="56"/>
      <c r="C1" s="56"/>
      <c r="D1" s="56"/>
      <c r="E1" s="56"/>
      <c r="F1" s="56"/>
      <c r="G1" s="57"/>
    </row>
    <row r="2" spans="1:7" ht="14.25" thickBot="1" x14ac:dyDescent="0.3">
      <c r="A2" s="59"/>
      <c r="B2" s="60"/>
      <c r="C2" s="60"/>
      <c r="D2" s="60"/>
      <c r="E2" s="60"/>
      <c r="F2" s="60"/>
      <c r="G2" s="61"/>
    </row>
    <row r="3" spans="1:7" ht="20.25" x14ac:dyDescent="0.25">
      <c r="A3" s="59"/>
      <c r="B3" s="62" t="s">
        <v>0</v>
      </c>
      <c r="C3" s="63"/>
      <c r="D3" s="60"/>
      <c r="E3" s="60"/>
      <c r="F3" s="60"/>
      <c r="G3" s="61"/>
    </row>
    <row r="4" spans="1:7" ht="20.25" x14ac:dyDescent="0.25">
      <c r="A4" s="59"/>
      <c r="B4" s="64" t="s">
        <v>4</v>
      </c>
      <c r="C4" s="65" t="s">
        <v>24</v>
      </c>
      <c r="D4" s="60"/>
      <c r="E4" s="60"/>
      <c r="F4" s="60"/>
      <c r="G4" s="61"/>
    </row>
    <row r="5" spans="1:7" ht="20.25" x14ac:dyDescent="0.25">
      <c r="A5" s="59"/>
      <c r="B5" s="64" t="s">
        <v>1</v>
      </c>
      <c r="C5" s="65" t="s">
        <v>25</v>
      </c>
      <c r="D5" s="60"/>
      <c r="E5" s="60"/>
      <c r="F5" s="60"/>
      <c r="G5" s="61"/>
    </row>
    <row r="6" spans="1:7" ht="21" thickBot="1" x14ac:dyDescent="0.3">
      <c r="A6" s="59"/>
      <c r="B6" s="66" t="s">
        <v>2</v>
      </c>
      <c r="C6" s="67" t="s">
        <v>26</v>
      </c>
      <c r="D6" s="60"/>
      <c r="E6" s="60"/>
      <c r="F6" s="60"/>
      <c r="G6" s="61"/>
    </row>
    <row r="7" spans="1:7" x14ac:dyDescent="0.25">
      <c r="A7" s="59"/>
      <c r="B7" s="60"/>
      <c r="C7" s="60"/>
      <c r="D7" s="60"/>
      <c r="E7" s="60"/>
      <c r="F7" s="60"/>
      <c r="G7" s="61"/>
    </row>
    <row r="8" spans="1:7" ht="14.25" thickBot="1" x14ac:dyDescent="0.3">
      <c r="A8" s="59"/>
      <c r="B8" s="60"/>
      <c r="C8" s="60"/>
      <c r="D8" s="60"/>
      <c r="E8" s="60"/>
      <c r="F8" s="60"/>
      <c r="G8" s="61"/>
    </row>
    <row r="9" spans="1:7" ht="20.25" x14ac:dyDescent="0.25">
      <c r="A9" s="59"/>
      <c r="B9" s="62" t="s">
        <v>9</v>
      </c>
      <c r="C9" s="68">
        <v>43227</v>
      </c>
      <c r="D9" s="60"/>
      <c r="E9" s="60"/>
      <c r="F9" s="60"/>
      <c r="G9" s="61"/>
    </row>
    <row r="10" spans="1:7" ht="20.25" x14ac:dyDescent="0.25">
      <c r="A10" s="59"/>
      <c r="B10" s="69" t="s">
        <v>8</v>
      </c>
      <c r="C10" s="70">
        <v>43258</v>
      </c>
      <c r="D10" s="60"/>
      <c r="E10" s="60"/>
      <c r="F10" s="60"/>
      <c r="G10" s="61"/>
    </row>
    <row r="11" spans="1:7" ht="20.25" x14ac:dyDescent="0.25">
      <c r="A11" s="59"/>
      <c r="B11" s="69" t="s">
        <v>10</v>
      </c>
      <c r="C11" s="71">
        <v>5</v>
      </c>
      <c r="D11" s="60"/>
      <c r="E11" s="60"/>
      <c r="F11" s="60"/>
      <c r="G11" s="61"/>
    </row>
    <row r="12" spans="1:7" ht="20.25" x14ac:dyDescent="0.25">
      <c r="A12" s="59"/>
      <c r="B12" s="64" t="s">
        <v>11</v>
      </c>
      <c r="C12" s="72">
        <v>30</v>
      </c>
      <c r="D12" s="60"/>
      <c r="E12" s="60"/>
      <c r="F12" s="60"/>
      <c r="G12" s="61"/>
    </row>
    <row r="13" spans="1:7" ht="20.25" x14ac:dyDescent="0.25">
      <c r="A13" s="59"/>
      <c r="B13" s="64" t="s">
        <v>12</v>
      </c>
      <c r="C13" s="72">
        <v>3</v>
      </c>
      <c r="D13" s="60"/>
      <c r="E13" s="60"/>
      <c r="F13" s="60"/>
      <c r="G13" s="61"/>
    </row>
    <row r="14" spans="1:7" ht="20.25" thickBot="1" x14ac:dyDescent="0.3">
      <c r="A14" s="59"/>
      <c r="B14" s="73"/>
      <c r="C14" s="74" t="s">
        <v>6</v>
      </c>
      <c r="D14" s="60"/>
      <c r="E14" s="60"/>
      <c r="F14" s="60"/>
      <c r="G14" s="61"/>
    </row>
    <row r="15" spans="1:7" x14ac:dyDescent="0.25">
      <c r="A15" s="59"/>
      <c r="B15" s="60"/>
      <c r="C15" s="60"/>
      <c r="D15" s="60"/>
      <c r="E15" s="60"/>
      <c r="F15" s="60"/>
      <c r="G15" s="61"/>
    </row>
    <row r="16" spans="1:7" ht="14.25" thickBot="1" x14ac:dyDescent="0.3">
      <c r="A16" s="75"/>
      <c r="B16" s="76"/>
      <c r="C16" s="76"/>
      <c r="D16" s="76"/>
      <c r="E16" s="76"/>
      <c r="F16" s="76"/>
      <c r="G16" s="77"/>
    </row>
    <row r="17" spans="1:13" x14ac:dyDescent="0.25">
      <c r="A17" s="78"/>
      <c r="B17" s="56"/>
      <c r="C17" s="56"/>
      <c r="D17" s="56"/>
      <c r="E17" s="56"/>
      <c r="F17" s="56"/>
      <c r="G17" s="57"/>
    </row>
    <row r="18" spans="1:13" ht="14.25" thickBot="1" x14ac:dyDescent="0.3">
      <c r="A18" s="79"/>
      <c r="B18" s="60"/>
      <c r="C18" s="60"/>
      <c r="D18" s="60"/>
      <c r="E18" s="60"/>
      <c r="F18" s="60"/>
      <c r="G18" s="61"/>
    </row>
    <row r="19" spans="1:13" ht="21" thickBot="1" x14ac:dyDescent="0.3">
      <c r="A19" s="79"/>
      <c r="B19" s="131" t="s">
        <v>19</v>
      </c>
      <c r="C19" s="132"/>
      <c r="D19" s="60"/>
      <c r="E19" s="60"/>
      <c r="F19" s="60"/>
      <c r="G19" s="61"/>
    </row>
    <row r="20" spans="1:13" ht="20.25" x14ac:dyDescent="0.25">
      <c r="A20" s="79"/>
      <c r="B20" s="80" t="s">
        <v>20</v>
      </c>
      <c r="C20" s="81" t="s">
        <v>21</v>
      </c>
      <c r="D20" s="60"/>
      <c r="E20" s="60"/>
      <c r="F20" s="60"/>
      <c r="G20" s="61"/>
    </row>
    <row r="21" spans="1:13" ht="20.25" x14ac:dyDescent="0.25">
      <c r="A21" s="79"/>
      <c r="B21" s="80">
        <v>1</v>
      </c>
      <c r="C21" s="70" t="s">
        <v>27</v>
      </c>
      <c r="D21" s="60"/>
      <c r="E21" s="60"/>
      <c r="F21" s="60"/>
      <c r="G21" s="61"/>
    </row>
    <row r="22" spans="1:13" ht="20.25" x14ac:dyDescent="0.25">
      <c r="A22" s="79"/>
      <c r="B22" s="80">
        <v>2</v>
      </c>
      <c r="C22" s="71" t="s">
        <v>39</v>
      </c>
      <c r="D22" s="60"/>
      <c r="E22" s="60"/>
      <c r="F22" s="60"/>
      <c r="G22" s="61"/>
    </row>
    <row r="23" spans="1:13" ht="20.25" x14ac:dyDescent="0.25">
      <c r="A23" s="79"/>
      <c r="B23" s="82">
        <v>3</v>
      </c>
      <c r="C23" s="71" t="s">
        <v>40</v>
      </c>
      <c r="D23" s="60"/>
      <c r="E23" s="60"/>
      <c r="F23" s="60"/>
      <c r="G23" s="61"/>
    </row>
    <row r="24" spans="1:13" ht="20.25" x14ac:dyDescent="0.25">
      <c r="A24" s="79"/>
      <c r="B24" s="80">
        <v>4</v>
      </c>
      <c r="C24" s="71" t="s">
        <v>57</v>
      </c>
      <c r="D24" s="60"/>
      <c r="E24" s="60"/>
      <c r="F24" s="60"/>
      <c r="G24" s="61"/>
    </row>
    <row r="25" spans="1:13" ht="20.25" x14ac:dyDescent="0.25">
      <c r="A25" s="79"/>
      <c r="B25" s="80">
        <v>5</v>
      </c>
      <c r="C25" s="71" t="s">
        <v>29</v>
      </c>
      <c r="D25" s="60"/>
      <c r="E25" s="60"/>
      <c r="F25" s="60"/>
      <c r="G25" s="61"/>
    </row>
    <row r="26" spans="1:13" ht="20.25" x14ac:dyDescent="0.25">
      <c r="A26" s="79"/>
      <c r="B26" s="82">
        <v>6</v>
      </c>
      <c r="C26" s="71" t="s">
        <v>28</v>
      </c>
      <c r="D26" s="60"/>
      <c r="E26" s="60"/>
      <c r="F26" s="60"/>
      <c r="G26" s="61"/>
    </row>
    <row r="27" spans="1:13" ht="20.25" x14ac:dyDescent="0.25">
      <c r="A27" s="79"/>
      <c r="B27" s="80">
        <v>7</v>
      </c>
      <c r="C27" s="71" t="s">
        <v>30</v>
      </c>
      <c r="D27" s="60"/>
      <c r="E27" s="60"/>
      <c r="F27" s="60"/>
      <c r="G27" s="61"/>
    </row>
    <row r="28" spans="1:13" ht="20.25" x14ac:dyDescent="0.25">
      <c r="A28" s="79"/>
      <c r="B28" s="80">
        <v>8</v>
      </c>
      <c r="C28" s="72" t="s">
        <v>31</v>
      </c>
      <c r="D28" s="60"/>
      <c r="E28" s="60"/>
      <c r="F28" s="60"/>
      <c r="G28" s="61"/>
    </row>
    <row r="29" spans="1:13" ht="20.25" x14ac:dyDescent="0.25">
      <c r="A29" s="79"/>
      <c r="B29" s="82">
        <v>9</v>
      </c>
      <c r="C29" s="72" t="s">
        <v>32</v>
      </c>
      <c r="D29" s="60"/>
      <c r="E29" s="60"/>
      <c r="F29" s="60"/>
      <c r="G29" s="61"/>
    </row>
    <row r="30" spans="1:13" ht="20.25" x14ac:dyDescent="0.25">
      <c r="A30" s="79"/>
      <c r="B30" s="80">
        <v>10</v>
      </c>
      <c r="C30" s="71" t="s">
        <v>33</v>
      </c>
      <c r="D30" s="60"/>
      <c r="E30" s="60"/>
      <c r="F30" s="60"/>
      <c r="G30" s="61"/>
    </row>
    <row r="31" spans="1:13" ht="20.25" x14ac:dyDescent="0.25">
      <c r="A31" s="79"/>
      <c r="B31" s="80">
        <v>11</v>
      </c>
      <c r="C31" s="71" t="s">
        <v>41</v>
      </c>
      <c r="D31" s="60"/>
      <c r="E31" s="60"/>
      <c r="F31" s="60"/>
      <c r="G31" s="61"/>
      <c r="H31" s="83"/>
      <c r="I31" s="83"/>
      <c r="J31" s="83"/>
      <c r="K31" s="83"/>
      <c r="L31" s="83"/>
      <c r="M31" s="83"/>
    </row>
    <row r="32" spans="1:13" ht="20.25" x14ac:dyDescent="0.25">
      <c r="A32" s="79"/>
      <c r="B32" s="82">
        <v>12</v>
      </c>
      <c r="C32" s="71" t="s">
        <v>54</v>
      </c>
      <c r="D32" s="60"/>
      <c r="E32" s="60"/>
      <c r="F32" s="60"/>
      <c r="G32" s="61"/>
      <c r="H32" s="83"/>
      <c r="I32" s="83"/>
      <c r="J32" s="83"/>
      <c r="K32" s="83"/>
      <c r="L32" s="83"/>
      <c r="M32" s="83"/>
    </row>
    <row r="33" spans="1:13" ht="20.25" x14ac:dyDescent="0.25">
      <c r="A33" s="79"/>
      <c r="B33" s="80">
        <v>13</v>
      </c>
      <c r="C33" s="71" t="s">
        <v>55</v>
      </c>
      <c r="D33" s="60"/>
      <c r="E33" s="60"/>
      <c r="F33" s="60"/>
      <c r="G33" s="61"/>
      <c r="H33" s="83"/>
      <c r="I33" s="83"/>
      <c r="J33" s="83"/>
      <c r="K33" s="83"/>
      <c r="L33" s="83"/>
      <c r="M33" s="83"/>
    </row>
    <row r="34" spans="1:13" ht="20.25" x14ac:dyDescent="0.25">
      <c r="A34" s="79"/>
      <c r="B34" s="80">
        <v>14</v>
      </c>
      <c r="C34" s="72" t="s">
        <v>56</v>
      </c>
      <c r="D34" s="60"/>
      <c r="E34" s="60"/>
      <c r="F34" s="60"/>
      <c r="G34" s="61"/>
      <c r="H34" s="83"/>
      <c r="I34" s="83"/>
      <c r="J34" s="83"/>
      <c r="K34" s="83"/>
      <c r="L34" s="83"/>
      <c r="M34" s="83"/>
    </row>
    <row r="35" spans="1:13" ht="20.25" x14ac:dyDescent="0.25">
      <c r="A35" s="79"/>
      <c r="B35" s="82">
        <v>15</v>
      </c>
      <c r="C35" s="72" t="s">
        <v>80</v>
      </c>
      <c r="D35" s="60"/>
      <c r="E35" s="60"/>
      <c r="F35" s="60"/>
      <c r="G35" s="61"/>
      <c r="H35" s="83"/>
      <c r="I35" s="83"/>
      <c r="J35" s="83"/>
      <c r="K35" s="83"/>
      <c r="L35" s="83"/>
      <c r="M35" s="83"/>
    </row>
    <row r="36" spans="1:13" ht="20.25" x14ac:dyDescent="0.25">
      <c r="A36" s="79"/>
      <c r="B36" s="80">
        <v>16</v>
      </c>
      <c r="C36" s="71" t="s">
        <v>111</v>
      </c>
      <c r="D36" s="60"/>
      <c r="E36" s="60"/>
      <c r="F36" s="60"/>
      <c r="G36" s="61"/>
      <c r="H36" s="83"/>
      <c r="I36" s="83"/>
      <c r="J36" s="83"/>
      <c r="K36" s="83"/>
      <c r="L36" s="83"/>
      <c r="M36" s="83"/>
    </row>
    <row r="37" spans="1:13" ht="20.25" x14ac:dyDescent="0.25">
      <c r="A37" s="79"/>
      <c r="B37" s="80">
        <v>17</v>
      </c>
      <c r="C37" s="71"/>
      <c r="D37" s="60"/>
      <c r="E37" s="60"/>
      <c r="F37" s="60"/>
      <c r="G37" s="61"/>
      <c r="H37" s="83"/>
      <c r="I37" s="83"/>
      <c r="J37" s="83"/>
      <c r="K37" s="83"/>
      <c r="L37" s="83"/>
      <c r="M37" s="83"/>
    </row>
    <row r="38" spans="1:13" ht="20.25" x14ac:dyDescent="0.25">
      <c r="A38" s="79"/>
      <c r="B38" s="82">
        <v>18</v>
      </c>
      <c r="C38" s="71"/>
      <c r="D38" s="60"/>
      <c r="E38" s="60"/>
      <c r="F38" s="60"/>
      <c r="G38" s="61"/>
      <c r="H38" s="83"/>
      <c r="I38" s="83"/>
      <c r="J38" s="83"/>
      <c r="K38" s="83"/>
      <c r="L38" s="83"/>
      <c r="M38" s="83"/>
    </row>
    <row r="39" spans="1:13" ht="20.25" x14ac:dyDescent="0.25">
      <c r="A39" s="79"/>
      <c r="B39" s="80">
        <v>19</v>
      </c>
      <c r="C39" s="71"/>
      <c r="D39" s="60"/>
      <c r="E39" s="60"/>
      <c r="F39" s="60"/>
      <c r="G39" s="61"/>
      <c r="H39" s="83"/>
      <c r="I39" s="83"/>
      <c r="J39" s="83"/>
      <c r="K39" s="83"/>
      <c r="L39" s="83"/>
      <c r="M39" s="83"/>
    </row>
    <row r="40" spans="1:13" ht="20.25" x14ac:dyDescent="0.25">
      <c r="A40" s="79"/>
      <c r="B40" s="80">
        <v>20</v>
      </c>
      <c r="C40" s="72"/>
      <c r="D40" s="60"/>
      <c r="E40" s="60"/>
      <c r="F40" s="60"/>
      <c r="G40" s="61"/>
      <c r="H40" s="83"/>
      <c r="I40" s="83"/>
      <c r="J40" s="83"/>
      <c r="K40" s="83"/>
      <c r="L40" s="83"/>
      <c r="M40" s="83"/>
    </row>
    <row r="41" spans="1:13" ht="20.25" x14ac:dyDescent="0.25">
      <c r="A41" s="79"/>
      <c r="B41" s="82">
        <v>21</v>
      </c>
      <c r="C41" s="72"/>
      <c r="D41" s="60"/>
      <c r="E41" s="60"/>
      <c r="F41" s="60"/>
      <c r="G41" s="61"/>
      <c r="H41" s="83"/>
      <c r="I41" s="83"/>
      <c r="J41" s="83"/>
      <c r="K41" s="83"/>
      <c r="L41" s="83"/>
      <c r="M41" s="83"/>
    </row>
    <row r="42" spans="1:13" ht="20.25" x14ac:dyDescent="0.25">
      <c r="A42" s="79"/>
      <c r="B42" s="80">
        <v>22</v>
      </c>
      <c r="C42" s="71"/>
      <c r="D42" s="60"/>
      <c r="E42" s="60"/>
      <c r="F42" s="60"/>
      <c r="G42" s="61"/>
      <c r="H42" s="83"/>
      <c r="I42" s="83"/>
      <c r="J42" s="83"/>
      <c r="K42" s="83"/>
      <c r="L42" s="83"/>
      <c r="M42" s="83"/>
    </row>
    <row r="43" spans="1:13" ht="20.25" x14ac:dyDescent="0.25">
      <c r="A43" s="79"/>
      <c r="B43" s="80">
        <v>23</v>
      </c>
      <c r="C43" s="71"/>
      <c r="D43" s="60"/>
      <c r="E43" s="60"/>
      <c r="F43" s="60"/>
      <c r="G43" s="61"/>
      <c r="H43" s="83"/>
      <c r="I43" s="83"/>
      <c r="J43" s="83"/>
      <c r="K43" s="83"/>
      <c r="L43" s="83"/>
      <c r="M43" s="83"/>
    </row>
    <row r="44" spans="1:13" ht="20.25" x14ac:dyDescent="0.25">
      <c r="A44" s="79"/>
      <c r="B44" s="82">
        <v>24</v>
      </c>
      <c r="C44" s="71"/>
      <c r="D44" s="60"/>
      <c r="E44" s="60"/>
      <c r="F44" s="60"/>
      <c r="G44" s="61"/>
      <c r="H44" s="83"/>
      <c r="I44" s="83"/>
      <c r="J44" s="83"/>
      <c r="K44" s="83"/>
      <c r="L44" s="83"/>
      <c r="M44" s="83"/>
    </row>
    <row r="45" spans="1:13" ht="21" thickBot="1" x14ac:dyDescent="0.3">
      <c r="A45" s="79"/>
      <c r="B45" s="84">
        <v>25</v>
      </c>
      <c r="C45" s="85"/>
      <c r="D45" s="60"/>
      <c r="E45" s="60"/>
      <c r="F45" s="60"/>
      <c r="G45" s="61"/>
      <c r="H45" s="83"/>
      <c r="I45" s="83"/>
      <c r="J45" s="83"/>
      <c r="K45" s="83"/>
      <c r="L45" s="83"/>
      <c r="M45" s="83"/>
    </row>
    <row r="46" spans="1:13" x14ac:dyDescent="0.25">
      <c r="A46" s="79"/>
      <c r="B46" s="56"/>
      <c r="C46" s="60"/>
      <c r="D46" s="60"/>
      <c r="E46" s="60"/>
      <c r="F46" s="60"/>
      <c r="G46" s="61"/>
      <c r="H46" s="83"/>
      <c r="I46" s="83"/>
      <c r="J46" s="83"/>
      <c r="K46" s="83"/>
      <c r="L46" s="83"/>
      <c r="M46" s="83"/>
    </row>
    <row r="47" spans="1:13" x14ac:dyDescent="0.25">
      <c r="A47" s="79"/>
      <c r="B47" s="60"/>
      <c r="C47" s="60"/>
      <c r="D47" s="60"/>
      <c r="E47" s="60"/>
      <c r="F47" s="60"/>
      <c r="G47" s="61"/>
      <c r="H47" s="83"/>
      <c r="I47" s="83"/>
      <c r="J47" s="83"/>
      <c r="K47" s="83"/>
      <c r="L47" s="83"/>
      <c r="M47" s="83"/>
    </row>
    <row r="48" spans="1:13" x14ac:dyDescent="0.25">
      <c r="A48" s="79"/>
      <c r="B48" s="60"/>
      <c r="C48" s="60"/>
      <c r="D48" s="60"/>
      <c r="E48" s="60"/>
      <c r="F48" s="60"/>
      <c r="G48" s="61"/>
      <c r="H48" s="83"/>
      <c r="I48" s="83"/>
      <c r="J48" s="83"/>
      <c r="K48" s="83"/>
      <c r="L48" s="83"/>
      <c r="M48" s="83"/>
    </row>
    <row r="49" spans="1:13" x14ac:dyDescent="0.25">
      <c r="A49" s="79"/>
      <c r="B49" s="60"/>
      <c r="C49" s="60"/>
      <c r="D49" s="60"/>
      <c r="E49" s="60"/>
      <c r="F49" s="60"/>
      <c r="G49" s="61"/>
      <c r="H49" s="83"/>
      <c r="I49" s="83"/>
      <c r="J49" s="83"/>
      <c r="K49" s="83"/>
      <c r="L49" s="83"/>
      <c r="M49" s="83"/>
    </row>
    <row r="50" spans="1:13" x14ac:dyDescent="0.25">
      <c r="A50" s="79"/>
      <c r="B50" s="60"/>
      <c r="C50" s="60"/>
      <c r="D50" s="60"/>
      <c r="E50" s="60"/>
      <c r="F50" s="60"/>
      <c r="G50" s="61"/>
      <c r="H50" s="83"/>
      <c r="I50" s="83"/>
      <c r="J50" s="83"/>
      <c r="K50" s="83"/>
      <c r="L50" s="83"/>
      <c r="M50" s="83"/>
    </row>
    <row r="51" spans="1:13" x14ac:dyDescent="0.25">
      <c r="A51" s="79"/>
      <c r="B51" s="60"/>
      <c r="C51" s="60"/>
      <c r="D51" s="60"/>
      <c r="E51" s="60"/>
      <c r="F51" s="60"/>
      <c r="G51" s="61"/>
      <c r="H51" s="83"/>
      <c r="I51" s="83"/>
      <c r="J51" s="83"/>
      <c r="K51" s="83"/>
      <c r="L51" s="83"/>
      <c r="M51" s="83"/>
    </row>
    <row r="52" spans="1:13" x14ac:dyDescent="0.25">
      <c r="A52" s="79"/>
      <c r="B52" s="60"/>
      <c r="C52" s="60"/>
      <c r="D52" s="60"/>
      <c r="E52" s="60"/>
      <c r="F52" s="60"/>
      <c r="G52" s="61"/>
      <c r="H52" s="83"/>
      <c r="I52" s="83"/>
      <c r="J52" s="83"/>
      <c r="K52" s="83"/>
      <c r="L52" s="83"/>
      <c r="M52" s="83"/>
    </row>
    <row r="53" spans="1:13" x14ac:dyDescent="0.25">
      <c r="A53" s="79"/>
      <c r="B53" s="60"/>
      <c r="C53" s="60"/>
      <c r="D53" s="60"/>
      <c r="E53" s="60"/>
      <c r="F53" s="60"/>
      <c r="G53" s="61"/>
      <c r="H53" s="83"/>
      <c r="I53" s="83"/>
      <c r="J53" s="83"/>
      <c r="K53" s="83"/>
      <c r="L53" s="83"/>
      <c r="M53" s="83"/>
    </row>
    <row r="54" spans="1:13" ht="14.25" thickBot="1" x14ac:dyDescent="0.3">
      <c r="A54" s="86"/>
      <c r="B54" s="76"/>
      <c r="C54" s="76"/>
      <c r="D54" s="76"/>
      <c r="E54" s="76"/>
      <c r="F54" s="76"/>
      <c r="G54" s="77"/>
      <c r="H54" s="83"/>
      <c r="I54" s="83"/>
      <c r="J54" s="83"/>
      <c r="K54" s="83"/>
      <c r="L54" s="83"/>
      <c r="M54" s="83"/>
    </row>
    <row r="55" spans="1:13" x14ac:dyDescent="0.25">
      <c r="A55" s="83"/>
      <c r="B55" s="83"/>
      <c r="C55" s="83"/>
      <c r="D55" s="83"/>
      <c r="E55" s="83"/>
      <c r="F55" s="83"/>
      <c r="G55" s="83"/>
      <c r="H55" s="83"/>
      <c r="I55" s="83"/>
      <c r="J55" s="83"/>
      <c r="K55" s="83"/>
      <c r="L55" s="83"/>
      <c r="M55" s="83"/>
    </row>
    <row r="56" spans="1:13" x14ac:dyDescent="0.25">
      <c r="A56" s="83"/>
      <c r="B56" s="83"/>
      <c r="C56" s="83"/>
      <c r="D56" s="83"/>
      <c r="E56" s="83"/>
      <c r="F56" s="83"/>
      <c r="G56" s="83"/>
      <c r="H56" s="83"/>
      <c r="I56" s="83"/>
      <c r="J56" s="83"/>
      <c r="K56" s="83"/>
      <c r="L56" s="83"/>
      <c r="M56" s="83"/>
    </row>
    <row r="57" spans="1:13" x14ac:dyDescent="0.25">
      <c r="A57" s="83"/>
      <c r="B57" s="83"/>
      <c r="C57" s="83"/>
      <c r="D57" s="83"/>
      <c r="E57" s="83"/>
      <c r="F57" s="83"/>
      <c r="G57" s="83"/>
      <c r="H57" s="83"/>
      <c r="I57" s="83"/>
      <c r="J57" s="83"/>
      <c r="K57" s="83"/>
      <c r="L57" s="83"/>
      <c r="M57" s="83"/>
    </row>
    <row r="58" spans="1:13" x14ac:dyDescent="0.25">
      <c r="A58" s="83"/>
      <c r="B58" s="83"/>
      <c r="C58" s="83"/>
      <c r="D58" s="83"/>
      <c r="E58" s="83"/>
      <c r="F58" s="83"/>
      <c r="G58" s="83"/>
      <c r="H58" s="83"/>
      <c r="I58" s="83"/>
      <c r="J58" s="83"/>
      <c r="K58" s="83"/>
      <c r="L58" s="83"/>
      <c r="M58" s="83"/>
    </row>
    <row r="59" spans="1:13" x14ac:dyDescent="0.25">
      <c r="A59" s="83"/>
      <c r="B59" s="83"/>
      <c r="C59" s="83"/>
      <c r="D59" s="83"/>
      <c r="E59" s="83"/>
      <c r="F59" s="83"/>
      <c r="G59" s="83"/>
      <c r="H59" s="83"/>
      <c r="I59" s="83"/>
      <c r="J59" s="83"/>
      <c r="K59" s="83"/>
      <c r="L59" s="83"/>
      <c r="M59" s="83"/>
    </row>
    <row r="60" spans="1:13" x14ac:dyDescent="0.25">
      <c r="A60" s="83"/>
      <c r="B60" s="83"/>
      <c r="C60" s="83"/>
      <c r="D60" s="83"/>
      <c r="E60" s="83"/>
      <c r="F60" s="83"/>
      <c r="G60" s="83"/>
      <c r="H60" s="83"/>
      <c r="I60" s="83"/>
      <c r="J60" s="83"/>
      <c r="K60" s="83"/>
      <c r="L60" s="83"/>
      <c r="M60" s="83"/>
    </row>
    <row r="61" spans="1:13" x14ac:dyDescent="0.25">
      <c r="A61" s="83"/>
      <c r="B61" s="83"/>
      <c r="C61" s="83"/>
      <c r="D61" s="83"/>
      <c r="E61" s="83"/>
      <c r="F61" s="83"/>
      <c r="G61" s="83"/>
      <c r="H61" s="83"/>
      <c r="I61" s="83"/>
      <c r="J61" s="83"/>
      <c r="K61" s="83"/>
      <c r="L61" s="83"/>
      <c r="M61" s="83"/>
    </row>
    <row r="62" spans="1:13" x14ac:dyDescent="0.25">
      <c r="A62" s="83"/>
      <c r="B62" s="83"/>
      <c r="C62" s="83"/>
      <c r="D62" s="83"/>
      <c r="E62" s="83"/>
      <c r="F62" s="83"/>
      <c r="G62" s="83"/>
      <c r="H62" s="83"/>
      <c r="I62" s="83"/>
      <c r="J62" s="83"/>
      <c r="K62" s="83"/>
      <c r="L62" s="83"/>
      <c r="M62" s="83"/>
    </row>
    <row r="63" spans="1:13" x14ac:dyDescent="0.25">
      <c r="A63" s="83"/>
      <c r="B63" s="83"/>
      <c r="C63" s="83"/>
      <c r="D63" s="83"/>
      <c r="E63" s="83"/>
      <c r="F63" s="83"/>
      <c r="G63" s="83"/>
      <c r="H63" s="83"/>
      <c r="I63" s="83"/>
      <c r="J63" s="83"/>
      <c r="K63" s="83"/>
      <c r="L63" s="83"/>
      <c r="M63" s="83"/>
    </row>
    <row r="64" spans="1:13" x14ac:dyDescent="0.25">
      <c r="A64" s="83"/>
      <c r="B64" s="83"/>
      <c r="C64" s="83"/>
      <c r="D64" s="83"/>
      <c r="E64" s="83"/>
      <c r="F64" s="83"/>
      <c r="G64" s="83"/>
      <c r="H64" s="83"/>
      <c r="I64" s="83"/>
      <c r="J64" s="83"/>
      <c r="K64" s="83"/>
      <c r="L64" s="83"/>
      <c r="M64" s="83"/>
    </row>
    <row r="65" spans="1:13" x14ac:dyDescent="0.25">
      <c r="A65" s="83"/>
      <c r="B65" s="83"/>
      <c r="C65" s="83"/>
      <c r="D65" s="83"/>
      <c r="E65" s="83"/>
      <c r="F65" s="83"/>
      <c r="G65" s="83"/>
      <c r="H65" s="83"/>
      <c r="I65" s="83"/>
      <c r="J65" s="83"/>
      <c r="K65" s="83"/>
      <c r="L65" s="83"/>
      <c r="M65" s="83"/>
    </row>
    <row r="66" spans="1:13" x14ac:dyDescent="0.25">
      <c r="A66" s="83"/>
      <c r="B66" s="83"/>
      <c r="C66" s="83"/>
      <c r="D66" s="83"/>
      <c r="E66" s="83"/>
      <c r="F66" s="83"/>
      <c r="G66" s="83"/>
      <c r="H66" s="83"/>
      <c r="I66" s="83"/>
      <c r="J66" s="83"/>
      <c r="K66" s="83"/>
      <c r="L66" s="83"/>
      <c r="M66" s="83"/>
    </row>
    <row r="67" spans="1:13" x14ac:dyDescent="0.25">
      <c r="A67" s="83"/>
      <c r="B67" s="83"/>
      <c r="C67" s="83"/>
      <c r="D67" s="83"/>
      <c r="E67" s="83"/>
      <c r="F67" s="83"/>
      <c r="G67" s="83"/>
      <c r="H67" s="83"/>
      <c r="I67" s="83"/>
      <c r="J67" s="83"/>
      <c r="K67" s="83"/>
      <c r="L67" s="83"/>
      <c r="M67" s="83"/>
    </row>
    <row r="68" spans="1:13" x14ac:dyDescent="0.25">
      <c r="A68" s="83"/>
      <c r="B68" s="83"/>
      <c r="C68" s="83"/>
      <c r="D68" s="83"/>
      <c r="E68" s="83"/>
      <c r="F68" s="83"/>
      <c r="G68" s="83"/>
      <c r="H68" s="83"/>
      <c r="I68" s="83"/>
      <c r="J68" s="83"/>
      <c r="K68" s="83"/>
      <c r="L68" s="83"/>
      <c r="M68" s="83"/>
    </row>
    <row r="69" spans="1:13" x14ac:dyDescent="0.25">
      <c r="A69" s="83"/>
      <c r="B69" s="83"/>
      <c r="C69" s="83"/>
      <c r="D69" s="83"/>
      <c r="E69" s="83"/>
      <c r="F69" s="83"/>
      <c r="G69" s="83"/>
      <c r="H69" s="83"/>
      <c r="I69" s="83"/>
      <c r="J69" s="83"/>
      <c r="K69" s="83"/>
      <c r="L69" s="83"/>
      <c r="M69" s="83"/>
    </row>
    <row r="70" spans="1:13" x14ac:dyDescent="0.25">
      <c r="A70" s="83"/>
      <c r="B70" s="83"/>
      <c r="C70" s="83"/>
      <c r="D70" s="83"/>
      <c r="E70" s="83"/>
      <c r="F70" s="83"/>
      <c r="G70" s="83"/>
      <c r="H70" s="83"/>
      <c r="I70" s="83"/>
      <c r="J70" s="83"/>
      <c r="K70" s="83"/>
      <c r="L70" s="83"/>
      <c r="M70" s="83"/>
    </row>
    <row r="71" spans="1:13" x14ac:dyDescent="0.25">
      <c r="A71" s="83"/>
      <c r="B71" s="83"/>
      <c r="C71" s="83"/>
      <c r="D71" s="83"/>
      <c r="E71" s="83"/>
      <c r="F71" s="83"/>
      <c r="G71" s="83"/>
      <c r="H71" s="83"/>
      <c r="I71" s="83"/>
      <c r="J71" s="83"/>
      <c r="K71" s="83"/>
      <c r="L71" s="83"/>
      <c r="M71" s="83"/>
    </row>
    <row r="72" spans="1:13" x14ac:dyDescent="0.25">
      <c r="A72" s="83"/>
      <c r="B72" s="83"/>
      <c r="C72" s="83"/>
      <c r="D72" s="83"/>
      <c r="E72" s="83"/>
      <c r="F72" s="83"/>
      <c r="G72" s="83"/>
      <c r="H72" s="83"/>
      <c r="I72" s="83"/>
      <c r="J72" s="83"/>
      <c r="K72" s="83"/>
      <c r="L72" s="83"/>
      <c r="M72" s="83"/>
    </row>
    <row r="73" spans="1:13" x14ac:dyDescent="0.25">
      <c r="A73" s="83"/>
      <c r="B73" s="83"/>
      <c r="C73" s="83"/>
      <c r="D73" s="83"/>
      <c r="E73" s="83"/>
      <c r="F73" s="83"/>
      <c r="G73" s="83"/>
      <c r="H73" s="83"/>
      <c r="I73" s="83"/>
      <c r="J73" s="83"/>
      <c r="K73" s="83"/>
      <c r="L73" s="83"/>
      <c r="M73" s="83"/>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2"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5" r:id="rId5" name="btnCreateWorkSheet">
          <controlPr defaultSize="0" autoLine="0" r:id="rId6">
            <anchor moveWithCells="1">
              <from>
                <xdr:col>4</xdr:col>
                <xdr:colOff>9525</xdr:colOff>
                <xdr:row>8</xdr:row>
                <xdr:rowOff>190500</xdr:rowOff>
              </from>
              <to>
                <xdr:col>6</xdr:col>
                <xdr:colOff>114300</xdr:colOff>
                <xdr:row>10</xdr:row>
                <xdr:rowOff>152400</xdr:rowOff>
              </to>
            </anchor>
          </controlPr>
        </control>
      </mc:Choice>
      <mc:Fallback>
        <control shapeId="15365" r:id="rId5" name="btnCreateWorkSheet"/>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4" r:id="rId9" name="btnCreatePlanning">
          <controlPr defaultSize="0" autoLine="0" r:id="rId10">
            <anchor moveWithCells="1">
              <from>
                <xdr:col>4</xdr:col>
                <xdr:colOff>9525</xdr:colOff>
                <xdr:row>5</xdr:row>
                <xdr:rowOff>9525</xdr:rowOff>
              </from>
              <to>
                <xdr:col>6</xdr:col>
                <xdr:colOff>95250</xdr:colOff>
                <xdr:row>7</xdr:row>
                <xdr:rowOff>47625</xdr:rowOff>
              </to>
            </anchor>
          </controlPr>
        </control>
      </mc:Choice>
      <mc:Fallback>
        <control shapeId="15364" r:id="rId9"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9" customWidth="1"/>
    <col min="2" max="2" width="51.28515625" style="29" customWidth="1"/>
    <col min="3" max="3" width="19.42578125" style="29" customWidth="1"/>
    <col min="4" max="16384" width="1.5703125" style="29"/>
  </cols>
  <sheetData>
    <row r="1" spans="1:4" ht="14.25" thickBot="1" x14ac:dyDescent="0.3">
      <c r="B1" s="21"/>
      <c r="C1" s="21"/>
    </row>
    <row r="2" spans="1:4" ht="42.75" customHeight="1" thickBot="1" x14ac:dyDescent="0.3">
      <c r="A2" s="19"/>
      <c r="B2" s="23" t="s">
        <v>5</v>
      </c>
      <c r="C2" s="15" t="s">
        <v>18</v>
      </c>
    </row>
    <row r="3" spans="1:4" ht="19.5" customHeight="1" x14ac:dyDescent="0.25">
      <c r="A3" s="19"/>
      <c r="B3" s="133" t="s">
        <v>21</v>
      </c>
      <c r="C3" s="16">
        <v>0</v>
      </c>
    </row>
    <row r="4" spans="1:4" ht="19.5" customHeight="1" x14ac:dyDescent="0.25">
      <c r="A4" s="19"/>
      <c r="B4" s="134"/>
      <c r="C4" s="22">
        <v>0</v>
      </c>
      <c r="D4" s="30"/>
    </row>
    <row r="5" spans="1:4" ht="19.5" customHeight="1" x14ac:dyDescent="0.25">
      <c r="B5" s="20"/>
      <c r="C5" s="20"/>
    </row>
    <row r="14" spans="1:4" ht="19.5" customHeight="1" x14ac:dyDescent="0.25">
      <c r="C14" s="20"/>
    </row>
    <row r="15" spans="1:4" ht="19.5" customHeight="1" x14ac:dyDescent="0.25">
      <c r="C15" s="20"/>
    </row>
    <row r="16" spans="1:4" ht="19.5" customHeight="1" x14ac:dyDescent="0.25">
      <c r="A16" s="42"/>
    </row>
  </sheetData>
  <mergeCells count="1">
    <mergeCell ref="B3:B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16</v>
      </c>
      <c r="C3" s="27">
        <v>0</v>
      </c>
    </row>
    <row r="4" spans="2:3" ht="18.75" thickBot="1" x14ac:dyDescent="0.3">
      <c r="B4" s="26" t="s">
        <v>17</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D1" sqref="D1"/>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22</v>
      </c>
      <c r="B13" s="12">
        <f>SUM(B3:B12)</f>
        <v>0</v>
      </c>
      <c r="C13" s="13"/>
      <c r="D13" s="13"/>
    </row>
    <row r="14" spans="1:4" ht="14.25" x14ac:dyDescent="0.3">
      <c r="A14" s="14"/>
      <c r="B14" s="14"/>
      <c r="C14" s="14"/>
      <c r="D14" s="14"/>
    </row>
    <row r="18" spans="1:9" x14ac:dyDescent="0.25">
      <c r="A18" s="20"/>
      <c r="B18" s="20"/>
      <c r="C18" s="20"/>
      <c r="D18" s="20"/>
    </row>
    <row r="19" spans="1:9" x14ac:dyDescent="0.25">
      <c r="A19" s="20"/>
      <c r="B19" s="20"/>
      <c r="C19" s="20"/>
      <c r="D19" s="20"/>
      <c r="E19" s="20"/>
      <c r="F19" s="20"/>
      <c r="G19" s="20"/>
      <c r="H19" s="20"/>
      <c r="I19" s="20"/>
    </row>
    <row r="20" spans="1:9" ht="12.75" customHeight="1" x14ac:dyDescent="0.25">
      <c r="A20" s="31"/>
      <c r="B20" s="32"/>
      <c r="C20" s="33"/>
      <c r="D20" s="34"/>
      <c r="E20" s="20"/>
      <c r="F20" s="32"/>
      <c r="G20" s="33"/>
      <c r="H20" s="34"/>
      <c r="I20" s="20"/>
    </row>
    <row r="21" spans="1:9" ht="15" x14ac:dyDescent="0.25">
      <c r="A21" s="31"/>
      <c r="B21" s="35"/>
      <c r="C21" s="31"/>
      <c r="D21" s="31"/>
      <c r="E21" s="20"/>
      <c r="F21" s="35"/>
      <c r="G21" s="31"/>
      <c r="H21" s="31"/>
      <c r="I21" s="20"/>
    </row>
    <row r="22" spans="1:9" x14ac:dyDescent="0.25">
      <c r="A22" s="36"/>
      <c r="B22" s="37"/>
      <c r="C22" s="38"/>
      <c r="D22" s="38"/>
      <c r="E22" s="20"/>
      <c r="F22" s="37"/>
      <c r="G22" s="38"/>
      <c r="H22" s="38"/>
      <c r="I22" s="20"/>
    </row>
    <row r="23" spans="1:9" x14ac:dyDescent="0.25">
      <c r="A23" s="36"/>
      <c r="B23" s="37"/>
      <c r="C23" s="38"/>
      <c r="D23" s="38"/>
      <c r="E23" s="20"/>
      <c r="F23" s="37"/>
      <c r="G23" s="38"/>
      <c r="H23" s="38"/>
      <c r="I23" s="20"/>
    </row>
    <row r="24" spans="1:9" x14ac:dyDescent="0.25">
      <c r="A24" s="36"/>
      <c r="B24" s="37"/>
      <c r="C24" s="38"/>
      <c r="D24" s="38"/>
      <c r="E24" s="20"/>
      <c r="F24" s="37"/>
      <c r="G24" s="38"/>
      <c r="H24" s="38"/>
      <c r="I24" s="20"/>
    </row>
    <row r="25" spans="1:9" x14ac:dyDescent="0.25">
      <c r="A25" s="36"/>
      <c r="B25" s="37"/>
      <c r="C25" s="38"/>
      <c r="D25" s="38"/>
      <c r="E25" s="20"/>
      <c r="F25" s="37"/>
      <c r="G25" s="38"/>
      <c r="H25" s="38"/>
      <c r="I25" s="20"/>
    </row>
    <row r="26" spans="1:9" x14ac:dyDescent="0.25">
      <c r="A26" s="37"/>
      <c r="B26" s="37"/>
      <c r="C26" s="38"/>
      <c r="D26" s="38"/>
      <c r="E26" s="20"/>
      <c r="F26" s="37"/>
      <c r="G26" s="38"/>
      <c r="H26" s="38"/>
      <c r="I26" s="20"/>
    </row>
    <row r="27" spans="1:9" x14ac:dyDescent="0.25">
      <c r="A27" s="37"/>
      <c r="B27" s="37"/>
      <c r="C27" s="38"/>
      <c r="D27" s="38"/>
      <c r="E27" s="20"/>
      <c r="F27" s="37"/>
      <c r="G27" s="38"/>
      <c r="H27" s="38"/>
      <c r="I27" s="20"/>
    </row>
    <row r="28" spans="1:9" x14ac:dyDescent="0.25">
      <c r="A28" s="37"/>
      <c r="B28" s="37"/>
      <c r="C28" s="38"/>
      <c r="D28" s="38"/>
      <c r="E28" s="20"/>
      <c r="F28" s="37"/>
      <c r="G28" s="38"/>
      <c r="H28" s="38"/>
      <c r="I28" s="20"/>
    </row>
    <row r="29" spans="1:9" x14ac:dyDescent="0.25">
      <c r="A29" s="37"/>
      <c r="B29" s="37"/>
      <c r="C29" s="38"/>
      <c r="D29" s="38"/>
      <c r="E29" s="20"/>
      <c r="F29" s="37"/>
      <c r="G29" s="38"/>
      <c r="H29" s="38"/>
      <c r="I29" s="20"/>
    </row>
    <row r="30" spans="1:9" x14ac:dyDescent="0.25">
      <c r="A30" s="39"/>
      <c r="B30" s="39"/>
      <c r="C30" s="40"/>
      <c r="D30" s="40"/>
      <c r="E30" s="20"/>
      <c r="F30" s="39"/>
      <c r="G30" s="40"/>
      <c r="H30" s="40"/>
      <c r="I30" s="20"/>
    </row>
    <row r="31" spans="1:9" ht="14.25" x14ac:dyDescent="0.3">
      <c r="A31" s="41"/>
      <c r="B31" s="41"/>
      <c r="C31" s="41"/>
      <c r="D31" s="41"/>
      <c r="E31" s="20"/>
      <c r="F31" s="41"/>
      <c r="G31" s="41"/>
      <c r="H31" s="41"/>
      <c r="I31" s="20"/>
    </row>
    <row r="32" spans="1:9" x14ac:dyDescent="0.25">
      <c r="A32" s="20"/>
      <c r="B32" s="20"/>
      <c r="C32" s="20"/>
      <c r="D32" s="20"/>
      <c r="E32" s="20"/>
      <c r="F32" s="20"/>
      <c r="G32" s="20"/>
      <c r="H32" s="20"/>
      <c r="I32" s="20"/>
    </row>
    <row r="33" spans="5:9" x14ac:dyDescent="0.25">
      <c r="E33" s="20"/>
      <c r="F33" s="20"/>
      <c r="G33" s="20"/>
      <c r="H33" s="20"/>
      <c r="I33" s="20"/>
    </row>
    <row r="34" spans="5:9" x14ac:dyDescent="0.25">
      <c r="E34" s="20"/>
      <c r="F34" s="20"/>
      <c r="G34" s="20"/>
      <c r="H34" s="20"/>
      <c r="I34" s="2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dimension ref="A1:I134"/>
  <sheetViews>
    <sheetView tabSelected="1" workbookViewId="0">
      <selection activeCell="C34" sqref="C34"/>
    </sheetView>
  </sheetViews>
  <sheetFormatPr baseColWidth="10" defaultColWidth="11.42578125" defaultRowHeight="13.5" x14ac:dyDescent="0.25"/>
  <cols>
    <col min="1" max="1" width="22.85546875" style="29" customWidth="1"/>
    <col min="2" max="2" width="8.5703125" style="130"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ht="14.25" x14ac:dyDescent="0.25">
      <c r="A3" s="104" t="s">
        <v>74</v>
      </c>
      <c r="B3" s="125">
        <f>SUM(B4:B7)</f>
        <v>12</v>
      </c>
      <c r="C3" s="113" t="s">
        <v>35</v>
      </c>
      <c r="D3" s="108"/>
    </row>
    <row r="4" spans="1:4" s="53" customFormat="1" x14ac:dyDescent="0.25">
      <c r="A4" s="92" t="s">
        <v>31</v>
      </c>
      <c r="B4" s="115">
        <v>2</v>
      </c>
      <c r="C4" s="110" t="s">
        <v>44</v>
      </c>
      <c r="D4" s="94"/>
    </row>
    <row r="5" spans="1:4" s="53" customFormat="1" x14ac:dyDescent="0.25">
      <c r="A5" s="91" t="s">
        <v>39</v>
      </c>
      <c r="B5" s="97">
        <v>8</v>
      </c>
      <c r="C5" s="101" t="s">
        <v>45</v>
      </c>
      <c r="D5" s="10"/>
    </row>
    <row r="6" spans="1:4" s="53" customFormat="1" x14ac:dyDescent="0.25">
      <c r="A6" s="111" t="s">
        <v>27</v>
      </c>
      <c r="B6" s="126">
        <v>2</v>
      </c>
      <c r="C6" s="112" t="s">
        <v>46</v>
      </c>
      <c r="D6" s="100"/>
    </row>
    <row r="7" spans="1:4" s="53" customFormat="1" x14ac:dyDescent="0.25">
      <c r="A7" s="95"/>
      <c r="B7" s="98"/>
      <c r="C7" s="52"/>
      <c r="D7" s="52"/>
    </row>
    <row r="8" spans="1:4" s="53" customFormat="1" ht="14.25" x14ac:dyDescent="0.25">
      <c r="A8" s="102" t="s">
        <v>75</v>
      </c>
      <c r="B8" s="127">
        <f>SUM(B9:B14)</f>
        <v>27</v>
      </c>
      <c r="C8" s="114" t="s">
        <v>36</v>
      </c>
      <c r="D8" s="109"/>
    </row>
    <row r="9" spans="1:4" s="53" customFormat="1" x14ac:dyDescent="0.25">
      <c r="A9" s="115" t="s">
        <v>21</v>
      </c>
      <c r="B9" s="115">
        <v>15</v>
      </c>
      <c r="C9" s="110" t="s">
        <v>85</v>
      </c>
      <c r="D9" s="94"/>
    </row>
    <row r="10" spans="1:4" s="53" customFormat="1" x14ac:dyDescent="0.25">
      <c r="A10" s="115" t="s">
        <v>39</v>
      </c>
      <c r="B10" s="115">
        <v>4</v>
      </c>
      <c r="C10" s="110" t="s">
        <v>47</v>
      </c>
      <c r="D10" s="94"/>
    </row>
    <row r="11" spans="1:4" s="53" customFormat="1" x14ac:dyDescent="0.25">
      <c r="A11" s="2" t="s">
        <v>27</v>
      </c>
      <c r="B11" s="97">
        <v>2</v>
      </c>
      <c r="C11" s="101" t="s">
        <v>48</v>
      </c>
      <c r="D11" s="10"/>
    </row>
    <row r="12" spans="1:4" s="53" customFormat="1" ht="27" x14ac:dyDescent="0.25">
      <c r="A12" s="2" t="s">
        <v>28</v>
      </c>
      <c r="B12" s="97">
        <v>4</v>
      </c>
      <c r="C12" s="101" t="s">
        <v>84</v>
      </c>
      <c r="D12" s="10"/>
    </row>
    <row r="13" spans="1:4" s="53" customFormat="1" ht="27" x14ac:dyDescent="0.25">
      <c r="A13" s="2" t="s">
        <v>80</v>
      </c>
      <c r="B13" s="97">
        <v>2</v>
      </c>
      <c r="C13" s="101" t="s">
        <v>87</v>
      </c>
      <c r="D13" s="10"/>
    </row>
    <row r="14" spans="1:4" s="53" customFormat="1" x14ac:dyDescent="0.25">
      <c r="A14" s="51"/>
      <c r="B14" s="98"/>
      <c r="C14" s="52"/>
      <c r="D14" s="52"/>
    </row>
    <row r="15" spans="1:4" s="53" customFormat="1" ht="14.25" x14ac:dyDescent="0.25">
      <c r="A15" s="106" t="s">
        <v>76</v>
      </c>
      <c r="B15" s="127">
        <f>SUM(B16:B18)</f>
        <v>24</v>
      </c>
      <c r="C15" s="114" t="s">
        <v>37</v>
      </c>
      <c r="D15" s="109"/>
    </row>
    <row r="16" spans="1:4" s="53" customFormat="1" x14ac:dyDescent="0.25">
      <c r="A16" s="93" t="s">
        <v>41</v>
      </c>
      <c r="B16" s="115">
        <v>24</v>
      </c>
      <c r="C16" s="110" t="s">
        <v>49</v>
      </c>
      <c r="D16" s="94"/>
    </row>
    <row r="17" spans="1:9" s="53" customFormat="1" x14ac:dyDescent="0.25">
      <c r="A17" s="99"/>
      <c r="B17" s="126"/>
      <c r="C17" s="100"/>
      <c r="D17" s="100"/>
    </row>
    <row r="18" spans="1:9" s="53" customFormat="1" x14ac:dyDescent="0.25">
      <c r="A18" s="51"/>
      <c r="B18" s="98"/>
      <c r="C18" s="52"/>
      <c r="D18" s="52"/>
    </row>
    <row r="19" spans="1:9" s="53" customFormat="1" ht="14.25" x14ac:dyDescent="0.25">
      <c r="A19" s="106" t="s">
        <v>77</v>
      </c>
      <c r="B19" s="127">
        <f>SUM(B20:B22)</f>
        <v>27</v>
      </c>
      <c r="C19" s="114" t="s">
        <v>36</v>
      </c>
      <c r="D19" s="109"/>
    </row>
    <row r="20" spans="1:9" s="53" customFormat="1" x14ac:dyDescent="0.25">
      <c r="A20" s="99" t="s">
        <v>41</v>
      </c>
      <c r="B20" s="126">
        <v>27</v>
      </c>
      <c r="C20" s="112" t="s">
        <v>50</v>
      </c>
      <c r="D20" s="100"/>
    </row>
    <row r="21" spans="1:9" s="53" customFormat="1" x14ac:dyDescent="0.25">
      <c r="A21" s="51"/>
      <c r="B21" s="98"/>
      <c r="C21" s="52"/>
      <c r="D21" s="52"/>
    </row>
    <row r="22" spans="1:9" s="53" customFormat="1" ht="14.25" thickBot="1" x14ac:dyDescent="0.3">
      <c r="A22" s="3"/>
      <c r="B22" s="128"/>
      <c r="C22" s="11"/>
      <c r="D22" s="11"/>
    </row>
    <row r="23" spans="1:9" ht="14.25" thickBot="1" x14ac:dyDescent="0.3">
      <c r="A23" s="12" t="s">
        <v>22</v>
      </c>
      <c r="B23" s="129">
        <f>SUM(B3,B8,B15,B19)</f>
        <v>90</v>
      </c>
      <c r="C23" s="88" t="s">
        <v>38</v>
      </c>
      <c r="D23" s="13"/>
    </row>
    <row r="24" spans="1:9" ht="15" thickBot="1" x14ac:dyDescent="0.35">
      <c r="A24" s="14"/>
      <c r="B24" s="14"/>
      <c r="C24" s="14"/>
      <c r="D24" s="14"/>
    </row>
    <row r="25" spans="1:9" ht="18.75" thickBot="1" x14ac:dyDescent="0.3">
      <c r="A25" s="6" t="s">
        <v>14</v>
      </c>
      <c r="B25" s="7">
        <v>2</v>
      </c>
      <c r="C25" s="17"/>
      <c r="D25" s="87"/>
    </row>
    <row r="26" spans="1:9" ht="27.75" thickBot="1" x14ac:dyDescent="0.3">
      <c r="A26" s="8" t="s">
        <v>3</v>
      </c>
      <c r="B26" s="18" t="s">
        <v>15</v>
      </c>
      <c r="C26" s="8" t="s">
        <v>7</v>
      </c>
      <c r="D26" s="8" t="s">
        <v>13</v>
      </c>
    </row>
    <row r="27" spans="1:9" ht="14.25" x14ac:dyDescent="0.25">
      <c r="A27" s="104" t="s">
        <v>70</v>
      </c>
      <c r="B27" s="125">
        <f>SUM(B28:B31)</f>
        <v>12</v>
      </c>
      <c r="C27" s="107" t="s">
        <v>35</v>
      </c>
      <c r="D27" s="108"/>
    </row>
    <row r="28" spans="1:9" x14ac:dyDescent="0.25">
      <c r="A28" s="92" t="s">
        <v>80</v>
      </c>
      <c r="B28" s="115">
        <v>4</v>
      </c>
      <c r="C28" s="110" t="s">
        <v>81</v>
      </c>
      <c r="D28" s="94"/>
    </row>
    <row r="29" spans="1:9" x14ac:dyDescent="0.25">
      <c r="A29" s="1" t="s">
        <v>28</v>
      </c>
      <c r="B29" s="97">
        <v>6</v>
      </c>
      <c r="C29" s="101" t="s">
        <v>86</v>
      </c>
      <c r="D29" s="10"/>
    </row>
    <row r="30" spans="1:9" x14ac:dyDescent="0.25">
      <c r="A30" s="1" t="s">
        <v>31</v>
      </c>
      <c r="B30" s="97">
        <v>2</v>
      </c>
      <c r="C30" s="101" t="s">
        <v>83</v>
      </c>
      <c r="D30" s="10"/>
    </row>
    <row r="31" spans="1:9" x14ac:dyDescent="0.25">
      <c r="A31" s="95"/>
      <c r="B31" s="98"/>
      <c r="C31" s="52"/>
      <c r="D31" s="52"/>
      <c r="E31" s="20"/>
      <c r="F31" s="20"/>
      <c r="G31" s="20"/>
      <c r="H31" s="20"/>
      <c r="I31" s="20"/>
    </row>
    <row r="32" spans="1:9" ht="12.75" customHeight="1" x14ac:dyDescent="0.25">
      <c r="A32" s="102" t="s">
        <v>71</v>
      </c>
      <c r="B32" s="127">
        <f>SUM(B33:B37)</f>
        <v>27</v>
      </c>
      <c r="C32" s="114" t="s">
        <v>36</v>
      </c>
      <c r="D32" s="109"/>
      <c r="E32" s="20"/>
      <c r="F32" s="32"/>
      <c r="G32" s="33"/>
      <c r="H32" s="34"/>
      <c r="I32" s="20"/>
    </row>
    <row r="33" spans="1:9" ht="15" x14ac:dyDescent="0.25">
      <c r="A33" s="96" t="s">
        <v>27</v>
      </c>
      <c r="B33" s="115">
        <v>1</v>
      </c>
      <c r="C33" s="110" t="s">
        <v>48</v>
      </c>
      <c r="D33" s="94"/>
      <c r="E33" s="20"/>
      <c r="F33" s="35"/>
      <c r="G33" s="31"/>
      <c r="H33" s="31"/>
      <c r="I33" s="20"/>
    </row>
    <row r="34" spans="1:9" ht="27" x14ac:dyDescent="0.25">
      <c r="A34" s="96" t="s">
        <v>30</v>
      </c>
      <c r="B34" s="115">
        <v>8</v>
      </c>
      <c r="C34" s="110" t="s">
        <v>89</v>
      </c>
      <c r="D34" s="94"/>
      <c r="E34" s="20"/>
      <c r="F34" s="35"/>
      <c r="G34" s="31"/>
      <c r="H34" s="31"/>
      <c r="I34" s="20"/>
    </row>
    <row r="35" spans="1:9" ht="67.5" x14ac:dyDescent="0.25">
      <c r="A35" s="1" t="s">
        <v>57</v>
      </c>
      <c r="B35" s="97">
        <v>12</v>
      </c>
      <c r="C35" s="101" t="s">
        <v>88</v>
      </c>
      <c r="D35" s="10"/>
      <c r="E35" s="20"/>
      <c r="F35" s="35"/>
      <c r="G35" s="31"/>
      <c r="H35" s="31"/>
      <c r="I35" s="20"/>
    </row>
    <row r="36" spans="1:9" ht="27" x14ac:dyDescent="0.25">
      <c r="A36" s="1" t="s">
        <v>54</v>
      </c>
      <c r="B36" s="97">
        <v>6</v>
      </c>
      <c r="C36" s="101" t="s">
        <v>90</v>
      </c>
      <c r="D36" s="10"/>
      <c r="E36" s="20"/>
      <c r="F36" s="35"/>
      <c r="G36" s="31"/>
      <c r="H36" s="31"/>
      <c r="I36" s="20"/>
    </row>
    <row r="37" spans="1:9" x14ac:dyDescent="0.25">
      <c r="A37" s="95"/>
      <c r="B37" s="98"/>
      <c r="C37" s="52"/>
      <c r="D37" s="52"/>
      <c r="E37" s="20"/>
      <c r="F37" s="37"/>
      <c r="G37" s="38"/>
      <c r="H37" s="38"/>
      <c r="I37" s="20"/>
    </row>
    <row r="38" spans="1:9" ht="14.25" x14ac:dyDescent="0.25">
      <c r="A38" s="106" t="s">
        <v>72</v>
      </c>
      <c r="B38" s="127">
        <f>SUM(B39:B43)</f>
        <v>24</v>
      </c>
      <c r="C38" s="114" t="s">
        <v>37</v>
      </c>
      <c r="D38" s="109"/>
      <c r="E38" s="20"/>
      <c r="F38" s="37"/>
      <c r="G38" s="38"/>
      <c r="H38" s="38"/>
      <c r="I38" s="20"/>
    </row>
    <row r="39" spans="1:9" x14ac:dyDescent="0.25">
      <c r="A39" s="93" t="s">
        <v>27</v>
      </c>
      <c r="B39" s="115">
        <v>1</v>
      </c>
      <c r="C39" s="110" t="s">
        <v>48</v>
      </c>
      <c r="D39" s="94"/>
      <c r="E39" s="20"/>
      <c r="F39" s="37"/>
      <c r="G39" s="38"/>
      <c r="H39" s="38"/>
      <c r="I39" s="20"/>
    </row>
    <row r="40" spans="1:9" x14ac:dyDescent="0.25">
      <c r="A40" s="93" t="s">
        <v>30</v>
      </c>
      <c r="B40" s="115">
        <v>8</v>
      </c>
      <c r="C40" s="110" t="s">
        <v>96</v>
      </c>
      <c r="D40" s="94"/>
      <c r="E40" s="20"/>
      <c r="F40" s="37"/>
      <c r="G40" s="38"/>
      <c r="H40" s="38"/>
      <c r="I40" s="20"/>
    </row>
    <row r="41" spans="1:9" ht="27" x14ac:dyDescent="0.25">
      <c r="A41" s="2" t="s">
        <v>54</v>
      </c>
      <c r="B41" s="97">
        <v>8</v>
      </c>
      <c r="C41" s="101" t="s">
        <v>91</v>
      </c>
      <c r="D41" s="10"/>
      <c r="E41" s="20"/>
      <c r="F41" s="37"/>
      <c r="G41" s="38"/>
      <c r="H41" s="38"/>
      <c r="I41" s="20"/>
    </row>
    <row r="42" spans="1:9" x14ac:dyDescent="0.25">
      <c r="A42" s="2" t="s">
        <v>57</v>
      </c>
      <c r="B42" s="97">
        <v>7</v>
      </c>
      <c r="C42" s="101" t="s">
        <v>97</v>
      </c>
      <c r="D42" s="10"/>
      <c r="E42" s="20"/>
      <c r="F42" s="37"/>
      <c r="G42" s="38"/>
      <c r="H42" s="38"/>
      <c r="I42" s="20"/>
    </row>
    <row r="43" spans="1:9" x14ac:dyDescent="0.25">
      <c r="A43" s="51"/>
      <c r="B43" s="98"/>
      <c r="C43" s="52"/>
      <c r="D43" s="52"/>
      <c r="E43" s="20"/>
      <c r="F43" s="37"/>
      <c r="G43" s="38"/>
      <c r="H43" s="38"/>
      <c r="I43" s="20"/>
    </row>
    <row r="44" spans="1:9" ht="14.25" x14ac:dyDescent="0.25">
      <c r="A44" s="106" t="s">
        <v>73</v>
      </c>
      <c r="B44" s="127">
        <f>SUM(B45:B50)</f>
        <v>27</v>
      </c>
      <c r="C44" s="114" t="s">
        <v>36</v>
      </c>
      <c r="D44" s="109"/>
      <c r="E44" s="20"/>
      <c r="F44" s="37"/>
      <c r="G44" s="38"/>
      <c r="H44" s="38"/>
      <c r="I44" s="20"/>
    </row>
    <row r="45" spans="1:9" x14ac:dyDescent="0.25">
      <c r="A45" s="93" t="s">
        <v>27</v>
      </c>
      <c r="B45" s="115">
        <v>1</v>
      </c>
      <c r="C45" s="110" t="s">
        <v>48</v>
      </c>
      <c r="D45" s="94"/>
      <c r="E45" s="20"/>
      <c r="F45" s="37"/>
      <c r="G45" s="38"/>
      <c r="H45" s="38"/>
      <c r="I45" s="20"/>
    </row>
    <row r="46" spans="1:9" x14ac:dyDescent="0.25">
      <c r="A46" s="2" t="s">
        <v>54</v>
      </c>
      <c r="B46" s="97">
        <v>6</v>
      </c>
      <c r="C46" s="101" t="s">
        <v>98</v>
      </c>
      <c r="D46" s="10"/>
      <c r="E46" s="20"/>
      <c r="F46" s="37"/>
      <c r="G46" s="38"/>
      <c r="H46" s="38"/>
      <c r="I46" s="20"/>
    </row>
    <row r="47" spans="1:9" ht="27" x14ac:dyDescent="0.25">
      <c r="A47" s="2" t="s">
        <v>57</v>
      </c>
      <c r="B47" s="97">
        <v>8</v>
      </c>
      <c r="C47" s="101" t="s">
        <v>100</v>
      </c>
      <c r="D47" s="10"/>
      <c r="E47" s="20"/>
      <c r="F47" s="37"/>
      <c r="G47" s="38"/>
      <c r="H47" s="38"/>
      <c r="I47" s="20"/>
    </row>
    <row r="48" spans="1:9" x14ac:dyDescent="0.25">
      <c r="A48" s="51" t="s">
        <v>80</v>
      </c>
      <c r="B48" s="98">
        <v>4</v>
      </c>
      <c r="C48" s="135" t="s">
        <v>99</v>
      </c>
      <c r="D48" s="52"/>
      <c r="E48" s="20"/>
      <c r="F48" s="37"/>
      <c r="G48" s="38"/>
      <c r="H48" s="38"/>
      <c r="I48" s="20"/>
    </row>
    <row r="49" spans="1:9" x14ac:dyDescent="0.25">
      <c r="A49" s="51" t="s">
        <v>28</v>
      </c>
      <c r="B49" s="98">
        <v>8</v>
      </c>
      <c r="C49" s="135" t="s">
        <v>101</v>
      </c>
      <c r="D49" s="52"/>
      <c r="E49" s="20"/>
      <c r="F49" s="37"/>
      <c r="G49" s="38"/>
      <c r="H49" s="38"/>
      <c r="I49" s="20"/>
    </row>
    <row r="50" spans="1:9" ht="14.25" thickBot="1" x14ac:dyDescent="0.3">
      <c r="A50" s="3"/>
      <c r="B50" s="128"/>
      <c r="C50" s="11"/>
      <c r="D50" s="11"/>
      <c r="E50" s="20"/>
      <c r="F50" s="37"/>
      <c r="G50" s="38"/>
      <c r="H50" s="38"/>
      <c r="I50" s="20"/>
    </row>
    <row r="51" spans="1:9" ht="14.25" thickBot="1" x14ac:dyDescent="0.3">
      <c r="A51" s="12" t="s">
        <v>22</v>
      </c>
      <c r="B51" s="129">
        <f>SUM(B27,B32,B38,B44)</f>
        <v>90</v>
      </c>
      <c r="C51" s="88" t="s">
        <v>38</v>
      </c>
      <c r="D51" s="13"/>
      <c r="E51" s="20"/>
      <c r="F51" s="37"/>
      <c r="G51" s="38"/>
      <c r="H51" s="38"/>
      <c r="I51" s="20"/>
    </row>
    <row r="52" spans="1:9" ht="15" thickBot="1" x14ac:dyDescent="0.35">
      <c r="A52" s="14"/>
      <c r="B52" s="14"/>
      <c r="C52" s="14"/>
      <c r="D52" s="14"/>
      <c r="E52" s="20"/>
      <c r="F52" s="37"/>
      <c r="G52" s="38"/>
      <c r="H52" s="38"/>
      <c r="I52" s="20"/>
    </row>
    <row r="53" spans="1:9" ht="18.75" thickBot="1" x14ac:dyDescent="0.3">
      <c r="A53" s="6" t="s">
        <v>14</v>
      </c>
      <c r="B53" s="7">
        <v>3</v>
      </c>
      <c r="C53" s="17"/>
      <c r="D53" s="87"/>
      <c r="E53" s="20"/>
      <c r="F53" s="37"/>
      <c r="G53" s="38"/>
      <c r="H53" s="38"/>
      <c r="I53" s="20"/>
    </row>
    <row r="54" spans="1:9" ht="27.75" thickBot="1" x14ac:dyDescent="0.3">
      <c r="A54" s="8" t="s">
        <v>3</v>
      </c>
      <c r="B54" s="18" t="s">
        <v>15</v>
      </c>
      <c r="C54" s="8" t="s">
        <v>7</v>
      </c>
      <c r="D54" s="8" t="s">
        <v>13</v>
      </c>
      <c r="E54" s="20"/>
      <c r="F54" s="39"/>
      <c r="G54" s="40"/>
      <c r="H54" s="40"/>
      <c r="I54" s="20"/>
    </row>
    <row r="55" spans="1:9" ht="14.25" x14ac:dyDescent="0.3">
      <c r="A55" s="104" t="s">
        <v>66</v>
      </c>
      <c r="B55" s="125">
        <f>SUM(B56:B57)</f>
        <v>12</v>
      </c>
      <c r="C55" s="113" t="s">
        <v>35</v>
      </c>
      <c r="D55" s="105"/>
      <c r="E55" s="20"/>
      <c r="F55" s="41"/>
      <c r="G55" s="41"/>
      <c r="H55" s="41"/>
      <c r="I55" s="20"/>
    </row>
    <row r="56" spans="1:9" x14ac:dyDescent="0.25">
      <c r="A56" s="96" t="s">
        <v>41</v>
      </c>
      <c r="B56" s="115">
        <v>12</v>
      </c>
      <c r="C56" s="110" t="s">
        <v>82</v>
      </c>
      <c r="D56" s="94"/>
      <c r="E56" s="20"/>
      <c r="F56" s="20"/>
      <c r="G56" s="20"/>
      <c r="H56" s="20"/>
      <c r="I56" s="20"/>
    </row>
    <row r="57" spans="1:9" x14ac:dyDescent="0.25">
      <c r="A57" s="95"/>
      <c r="B57" s="98"/>
      <c r="C57" s="52"/>
      <c r="D57" s="52"/>
      <c r="E57" s="20"/>
      <c r="F57" s="20"/>
      <c r="G57" s="20"/>
      <c r="H57" s="20"/>
      <c r="I57" s="20"/>
    </row>
    <row r="58" spans="1:9" ht="14.25" x14ac:dyDescent="0.25">
      <c r="A58" s="102" t="s">
        <v>67</v>
      </c>
      <c r="B58" s="127">
        <f>SUM(B59:B64)</f>
        <v>27</v>
      </c>
      <c r="C58" s="114" t="s">
        <v>36</v>
      </c>
      <c r="D58" s="103"/>
      <c r="E58" s="20"/>
      <c r="F58" s="20"/>
      <c r="G58" s="20"/>
      <c r="H58" s="20"/>
      <c r="I58" s="20"/>
    </row>
    <row r="59" spans="1:9" x14ac:dyDescent="0.25">
      <c r="A59" s="96" t="s">
        <v>27</v>
      </c>
      <c r="B59" s="115">
        <v>1</v>
      </c>
      <c r="C59" s="94"/>
      <c r="D59" s="94"/>
    </row>
    <row r="60" spans="1:9" x14ac:dyDescent="0.25">
      <c r="A60" s="1" t="s">
        <v>31</v>
      </c>
      <c r="B60" s="97">
        <v>2</v>
      </c>
      <c r="C60" s="101" t="s">
        <v>83</v>
      </c>
      <c r="D60" s="10"/>
    </row>
    <row r="61" spans="1:9" x14ac:dyDescent="0.25">
      <c r="A61" s="1" t="s">
        <v>30</v>
      </c>
      <c r="B61" s="97">
        <v>12</v>
      </c>
      <c r="C61" s="101" t="s">
        <v>106</v>
      </c>
      <c r="D61" s="10"/>
    </row>
    <row r="62" spans="1:9" x14ac:dyDescent="0.25">
      <c r="A62" s="1" t="s">
        <v>57</v>
      </c>
      <c r="B62" s="97">
        <v>4</v>
      </c>
      <c r="C62" s="101" t="s">
        <v>102</v>
      </c>
      <c r="D62" s="10"/>
    </row>
    <row r="63" spans="1:9" ht="27" x14ac:dyDescent="0.25">
      <c r="A63" s="1" t="s">
        <v>55</v>
      </c>
      <c r="B63" s="97">
        <v>8</v>
      </c>
      <c r="C63" s="101" t="s">
        <v>108</v>
      </c>
      <c r="D63" s="10"/>
    </row>
    <row r="64" spans="1:9" x14ac:dyDescent="0.25">
      <c r="A64" s="95"/>
      <c r="B64" s="98"/>
      <c r="C64" s="52"/>
      <c r="D64" s="52"/>
    </row>
    <row r="65" spans="1:4" ht="14.25" x14ac:dyDescent="0.25">
      <c r="A65" s="106" t="s">
        <v>68</v>
      </c>
      <c r="B65" s="127">
        <f>SUM(B66:B70)</f>
        <v>24</v>
      </c>
      <c r="C65" s="114" t="s">
        <v>37</v>
      </c>
      <c r="D65" s="103"/>
    </row>
    <row r="66" spans="1:4" x14ac:dyDescent="0.25">
      <c r="A66" s="93" t="s">
        <v>27</v>
      </c>
      <c r="B66" s="115">
        <v>1</v>
      </c>
      <c r="C66" s="110" t="s">
        <v>48</v>
      </c>
      <c r="D66" s="94"/>
    </row>
    <row r="67" spans="1:4" x14ac:dyDescent="0.25">
      <c r="A67" s="2" t="s">
        <v>30</v>
      </c>
      <c r="B67" s="97">
        <v>9</v>
      </c>
      <c r="C67" s="101" t="s">
        <v>107</v>
      </c>
      <c r="D67" s="10"/>
    </row>
    <row r="68" spans="1:4" x14ac:dyDescent="0.25">
      <c r="A68" s="2" t="s">
        <v>57</v>
      </c>
      <c r="B68" s="97">
        <v>6</v>
      </c>
      <c r="C68" s="101" t="s">
        <v>114</v>
      </c>
      <c r="D68" s="10"/>
    </row>
    <row r="69" spans="1:4" ht="27" x14ac:dyDescent="0.25">
      <c r="A69" s="2" t="s">
        <v>55</v>
      </c>
      <c r="B69" s="97">
        <v>8</v>
      </c>
      <c r="C69" s="101" t="s">
        <v>132</v>
      </c>
      <c r="D69" s="10"/>
    </row>
    <row r="70" spans="1:4" x14ac:dyDescent="0.25">
      <c r="A70" s="51"/>
      <c r="B70" s="98"/>
      <c r="C70" s="52"/>
      <c r="D70" s="52"/>
    </row>
    <row r="71" spans="1:4" ht="14.25" x14ac:dyDescent="0.25">
      <c r="A71" s="106" t="s">
        <v>69</v>
      </c>
      <c r="B71" s="127">
        <f>SUM(B72:B78)</f>
        <v>27</v>
      </c>
      <c r="C71" s="114" t="s">
        <v>36</v>
      </c>
      <c r="D71" s="103"/>
    </row>
    <row r="72" spans="1:4" x14ac:dyDescent="0.25">
      <c r="A72" s="93" t="s">
        <v>27</v>
      </c>
      <c r="B72" s="115">
        <v>1</v>
      </c>
      <c r="C72" s="110" t="s">
        <v>48</v>
      </c>
      <c r="D72" s="94"/>
    </row>
    <row r="73" spans="1:4" x14ac:dyDescent="0.25">
      <c r="A73" s="2" t="s">
        <v>80</v>
      </c>
      <c r="B73" s="97">
        <v>4</v>
      </c>
      <c r="C73" s="101" t="s">
        <v>103</v>
      </c>
      <c r="D73" s="10"/>
    </row>
    <row r="74" spans="1:4" x14ac:dyDescent="0.25">
      <c r="A74" s="2" t="s">
        <v>57</v>
      </c>
      <c r="B74" s="97">
        <v>8</v>
      </c>
      <c r="C74" s="101" t="s">
        <v>104</v>
      </c>
      <c r="D74" s="10"/>
    </row>
    <row r="75" spans="1:4" x14ac:dyDescent="0.25">
      <c r="A75" s="51" t="s">
        <v>56</v>
      </c>
      <c r="B75" s="98">
        <v>4</v>
      </c>
      <c r="C75" s="135" t="s">
        <v>109</v>
      </c>
      <c r="D75" s="52"/>
    </row>
    <row r="76" spans="1:4" x14ac:dyDescent="0.25">
      <c r="A76" s="51" t="s">
        <v>29</v>
      </c>
      <c r="B76" s="98">
        <v>3</v>
      </c>
      <c r="C76" s="135" t="s">
        <v>117</v>
      </c>
      <c r="D76" s="52"/>
    </row>
    <row r="77" spans="1:4" x14ac:dyDescent="0.25">
      <c r="A77" s="51" t="s">
        <v>28</v>
      </c>
      <c r="B77" s="98">
        <v>7</v>
      </c>
      <c r="C77" s="135" t="s">
        <v>105</v>
      </c>
      <c r="D77" s="52"/>
    </row>
    <row r="78" spans="1:4" ht="14.25" thickBot="1" x14ac:dyDescent="0.3">
      <c r="A78" s="3"/>
      <c r="B78" s="128"/>
      <c r="C78" s="11"/>
      <c r="D78" s="11"/>
    </row>
    <row r="79" spans="1:4" ht="14.25" thickBot="1" x14ac:dyDescent="0.3">
      <c r="A79" s="12" t="s">
        <v>22</v>
      </c>
      <c r="B79" s="129">
        <f>SUM(B55,B58,B65,B71)</f>
        <v>90</v>
      </c>
      <c r="C79" s="88" t="s">
        <v>38</v>
      </c>
      <c r="D79" s="13"/>
    </row>
    <row r="80" spans="1:4" ht="15" thickBot="1" x14ac:dyDescent="0.35">
      <c r="A80" s="14"/>
      <c r="B80" s="14"/>
      <c r="C80" s="14"/>
      <c r="D80" s="14"/>
    </row>
    <row r="81" spans="1:4" ht="18.75" thickBot="1" x14ac:dyDescent="0.3">
      <c r="A81" s="6" t="s">
        <v>14</v>
      </c>
      <c r="B81" s="7">
        <v>4</v>
      </c>
      <c r="C81" s="17"/>
      <c r="D81" s="87"/>
    </row>
    <row r="82" spans="1:4" ht="27.75" thickBot="1" x14ac:dyDescent="0.3">
      <c r="A82" s="8" t="s">
        <v>3</v>
      </c>
      <c r="B82" s="18" t="s">
        <v>15</v>
      </c>
      <c r="C82" s="8" t="s">
        <v>7</v>
      </c>
      <c r="D82" s="8" t="s">
        <v>13</v>
      </c>
    </row>
    <row r="83" spans="1:4" ht="14.25" x14ac:dyDescent="0.25">
      <c r="A83" s="104" t="s">
        <v>62</v>
      </c>
      <c r="B83" s="125">
        <f>SUM(B84:B88)</f>
        <v>12</v>
      </c>
      <c r="C83" s="113" t="s">
        <v>35</v>
      </c>
      <c r="D83" s="105"/>
    </row>
    <row r="84" spans="1:4" x14ac:dyDescent="0.25">
      <c r="A84" s="136" t="s">
        <v>27</v>
      </c>
      <c r="B84" s="137">
        <v>1</v>
      </c>
      <c r="C84" s="139" t="s">
        <v>48</v>
      </c>
      <c r="D84" s="138"/>
    </row>
    <row r="85" spans="1:4" x14ac:dyDescent="0.25">
      <c r="A85" s="1" t="s">
        <v>31</v>
      </c>
      <c r="B85" s="97">
        <v>2</v>
      </c>
      <c r="C85" s="101" t="s">
        <v>83</v>
      </c>
      <c r="D85" s="10"/>
    </row>
    <row r="86" spans="1:4" x14ac:dyDescent="0.25">
      <c r="A86" s="1" t="s">
        <v>33</v>
      </c>
      <c r="B86" s="97">
        <v>4</v>
      </c>
      <c r="C86" s="101" t="s">
        <v>110</v>
      </c>
      <c r="D86" s="10"/>
    </row>
    <row r="87" spans="1:4" x14ac:dyDescent="0.25">
      <c r="A87" s="1" t="s">
        <v>30</v>
      </c>
      <c r="B87" s="97">
        <v>5</v>
      </c>
      <c r="C87" s="101" t="s">
        <v>115</v>
      </c>
      <c r="D87" s="10"/>
    </row>
    <row r="88" spans="1:4" x14ac:dyDescent="0.25">
      <c r="A88" s="95"/>
      <c r="B88" s="98"/>
      <c r="C88" s="52"/>
      <c r="D88" s="52"/>
    </row>
    <row r="89" spans="1:4" ht="14.25" x14ac:dyDescent="0.25">
      <c r="A89" s="102" t="s">
        <v>63</v>
      </c>
      <c r="B89" s="127">
        <f>SUM(B90:B94)</f>
        <v>27</v>
      </c>
      <c r="C89" s="114" t="s">
        <v>36</v>
      </c>
      <c r="D89" s="103"/>
    </row>
    <row r="90" spans="1:4" x14ac:dyDescent="0.25">
      <c r="A90" s="96" t="s">
        <v>27</v>
      </c>
      <c r="B90" s="115">
        <v>1</v>
      </c>
      <c r="C90" s="110" t="s">
        <v>48</v>
      </c>
      <c r="D90" s="94"/>
    </row>
    <row r="91" spans="1:4" x14ac:dyDescent="0.25">
      <c r="A91" s="1" t="s">
        <v>30</v>
      </c>
      <c r="B91" s="97">
        <v>10</v>
      </c>
      <c r="C91" s="101" t="s">
        <v>116</v>
      </c>
      <c r="D91" s="10"/>
    </row>
    <row r="92" spans="1:4" x14ac:dyDescent="0.25">
      <c r="A92" s="1" t="s">
        <v>56</v>
      </c>
      <c r="B92" s="97">
        <v>10</v>
      </c>
      <c r="C92" s="101" t="s">
        <v>118</v>
      </c>
      <c r="D92" s="10"/>
    </row>
    <row r="93" spans="1:4" x14ac:dyDescent="0.25">
      <c r="A93" s="1" t="s">
        <v>57</v>
      </c>
      <c r="B93" s="97">
        <v>6</v>
      </c>
      <c r="C93" s="101" t="s">
        <v>113</v>
      </c>
      <c r="D93" s="10"/>
    </row>
    <row r="94" spans="1:4" x14ac:dyDescent="0.25">
      <c r="A94" s="95"/>
      <c r="B94" s="98"/>
      <c r="C94" s="52"/>
      <c r="D94" s="52"/>
    </row>
    <row r="95" spans="1:4" ht="14.25" x14ac:dyDescent="0.25">
      <c r="A95" s="106" t="s">
        <v>64</v>
      </c>
      <c r="B95" s="127">
        <f>SUM(B96:B100)</f>
        <v>24</v>
      </c>
      <c r="C95" s="114" t="s">
        <v>37</v>
      </c>
      <c r="D95" s="103"/>
    </row>
    <row r="96" spans="1:4" x14ac:dyDescent="0.25">
      <c r="A96" s="93" t="s">
        <v>27</v>
      </c>
      <c r="B96" s="115">
        <v>1</v>
      </c>
      <c r="C96" s="110" t="s">
        <v>48</v>
      </c>
      <c r="D96" s="94"/>
    </row>
    <row r="97" spans="1:4" x14ac:dyDescent="0.25">
      <c r="A97" s="2" t="s">
        <v>56</v>
      </c>
      <c r="B97" s="97">
        <v>10</v>
      </c>
      <c r="C97" s="101" t="s">
        <v>119</v>
      </c>
      <c r="D97" s="10"/>
    </row>
    <row r="98" spans="1:4" ht="27" x14ac:dyDescent="0.25">
      <c r="A98" s="2" t="s">
        <v>57</v>
      </c>
      <c r="B98" s="97">
        <v>9</v>
      </c>
      <c r="C98" s="101" t="s">
        <v>133</v>
      </c>
      <c r="D98" s="10"/>
    </row>
    <row r="99" spans="1:4" x14ac:dyDescent="0.25">
      <c r="A99" s="51" t="s">
        <v>29</v>
      </c>
      <c r="B99" s="98">
        <v>4</v>
      </c>
      <c r="C99" s="135" t="s">
        <v>117</v>
      </c>
      <c r="D99" s="52"/>
    </row>
    <row r="100" spans="1:4" x14ac:dyDescent="0.25">
      <c r="A100" s="51"/>
      <c r="B100" s="98"/>
      <c r="C100" s="52"/>
      <c r="D100" s="52"/>
    </row>
    <row r="101" spans="1:4" ht="14.25" x14ac:dyDescent="0.25">
      <c r="A101" s="106" t="s">
        <v>65</v>
      </c>
      <c r="B101" s="127">
        <f>SUM(B102:B107)</f>
        <v>27</v>
      </c>
      <c r="C101" s="114" t="s">
        <v>36</v>
      </c>
      <c r="D101" s="103"/>
    </row>
    <row r="102" spans="1:4" x14ac:dyDescent="0.25">
      <c r="A102" s="93" t="s">
        <v>27</v>
      </c>
      <c r="B102" s="115">
        <v>1</v>
      </c>
      <c r="C102" s="110" t="s">
        <v>48</v>
      </c>
      <c r="D102" s="94"/>
    </row>
    <row r="103" spans="1:4" ht="27" x14ac:dyDescent="0.25">
      <c r="A103" s="2" t="s">
        <v>28</v>
      </c>
      <c r="B103" s="97">
        <v>12</v>
      </c>
      <c r="C103" s="101" t="s">
        <v>121</v>
      </c>
      <c r="D103" s="10"/>
    </row>
    <row r="104" spans="1:4" x14ac:dyDescent="0.25">
      <c r="A104" s="2" t="s">
        <v>33</v>
      </c>
      <c r="B104" s="97">
        <v>6</v>
      </c>
      <c r="C104" s="101" t="s">
        <v>120</v>
      </c>
      <c r="D104" s="10"/>
    </row>
    <row r="105" spans="1:4" x14ac:dyDescent="0.25">
      <c r="A105" s="51" t="s">
        <v>57</v>
      </c>
      <c r="B105" s="98">
        <v>6</v>
      </c>
      <c r="C105" s="135" t="s">
        <v>123</v>
      </c>
      <c r="D105" s="52"/>
    </row>
    <row r="106" spans="1:4" x14ac:dyDescent="0.25">
      <c r="A106" s="51" t="s">
        <v>29</v>
      </c>
      <c r="B106" s="98">
        <v>2</v>
      </c>
      <c r="C106" s="135" t="s">
        <v>122</v>
      </c>
      <c r="D106" s="52"/>
    </row>
    <row r="107" spans="1:4" ht="14.25" thickBot="1" x14ac:dyDescent="0.3">
      <c r="A107" s="3"/>
      <c r="B107" s="128"/>
      <c r="C107" s="11"/>
      <c r="D107" s="11"/>
    </row>
    <row r="108" spans="1:4" ht="14.25" thickBot="1" x14ac:dyDescent="0.3">
      <c r="A108" s="12" t="s">
        <v>22</v>
      </c>
      <c r="B108" s="129">
        <f>SUM(B83,B89,B95,B101)</f>
        <v>90</v>
      </c>
      <c r="C108" s="88" t="s">
        <v>38</v>
      </c>
      <c r="D108" s="13"/>
    </row>
    <row r="109" spans="1:4" ht="15" thickBot="1" x14ac:dyDescent="0.35">
      <c r="A109" s="14"/>
      <c r="B109" s="14"/>
      <c r="C109" s="14"/>
      <c r="D109" s="14"/>
    </row>
    <row r="110" spans="1:4" ht="18.75" thickBot="1" x14ac:dyDescent="0.3">
      <c r="A110" s="6" t="s">
        <v>14</v>
      </c>
      <c r="B110" s="7">
        <v>5</v>
      </c>
      <c r="C110" s="17"/>
      <c r="D110" s="87"/>
    </row>
    <row r="111" spans="1:4" ht="27.75" thickBot="1" x14ac:dyDescent="0.3">
      <c r="A111" s="8" t="s">
        <v>3</v>
      </c>
      <c r="B111" s="18" t="s">
        <v>15</v>
      </c>
      <c r="C111" s="8" t="s">
        <v>7</v>
      </c>
      <c r="D111" s="8" t="s">
        <v>13</v>
      </c>
    </row>
    <row r="112" spans="1:4" ht="14.25" x14ac:dyDescent="0.25">
      <c r="A112" s="104" t="s">
        <v>61</v>
      </c>
      <c r="B112" s="125">
        <f>SUM(B113:B117)</f>
        <v>12</v>
      </c>
      <c r="C112" s="113" t="s">
        <v>35</v>
      </c>
      <c r="D112" s="105"/>
    </row>
    <row r="113" spans="1:4" x14ac:dyDescent="0.25">
      <c r="A113" s="96" t="s">
        <v>27</v>
      </c>
      <c r="B113" s="115">
        <v>1</v>
      </c>
      <c r="C113" s="110" t="s">
        <v>48</v>
      </c>
      <c r="D113" s="94"/>
    </row>
    <row r="114" spans="1:4" x14ac:dyDescent="0.25">
      <c r="A114" s="1" t="s">
        <v>28</v>
      </c>
      <c r="B114" s="97">
        <v>6</v>
      </c>
      <c r="C114" s="101" t="s">
        <v>124</v>
      </c>
      <c r="D114" s="10"/>
    </row>
    <row r="115" spans="1:4" x14ac:dyDescent="0.25">
      <c r="A115" s="1" t="s">
        <v>33</v>
      </c>
      <c r="B115" s="97">
        <v>3</v>
      </c>
      <c r="C115" s="101" t="s">
        <v>127</v>
      </c>
      <c r="D115" s="10"/>
    </row>
    <row r="116" spans="1:4" x14ac:dyDescent="0.25">
      <c r="A116" s="95" t="s">
        <v>31</v>
      </c>
      <c r="B116" s="98">
        <v>2</v>
      </c>
      <c r="C116" s="135" t="s">
        <v>83</v>
      </c>
      <c r="D116" s="52"/>
    </row>
    <row r="117" spans="1:4" x14ac:dyDescent="0.25">
      <c r="A117" s="95"/>
      <c r="B117" s="98"/>
      <c r="C117" s="52"/>
      <c r="D117" s="52"/>
    </row>
    <row r="118" spans="1:4" ht="14.25" x14ac:dyDescent="0.25">
      <c r="A118" s="102" t="s">
        <v>60</v>
      </c>
      <c r="B118" s="127">
        <f>SUM(B119:B122)</f>
        <v>27</v>
      </c>
      <c r="C118" s="114" t="s">
        <v>36</v>
      </c>
      <c r="D118" s="103"/>
    </row>
    <row r="119" spans="1:4" x14ac:dyDescent="0.25">
      <c r="A119" s="96" t="s">
        <v>27</v>
      </c>
      <c r="B119" s="115">
        <v>3</v>
      </c>
      <c r="C119" s="110" t="s">
        <v>112</v>
      </c>
      <c r="D119" s="94"/>
    </row>
    <row r="120" spans="1:4" x14ac:dyDescent="0.25">
      <c r="A120" s="1" t="s">
        <v>28</v>
      </c>
      <c r="B120" s="97">
        <v>18</v>
      </c>
      <c r="C120" s="101" t="s">
        <v>126</v>
      </c>
      <c r="D120" s="10"/>
    </row>
    <row r="121" spans="1:4" x14ac:dyDescent="0.25">
      <c r="A121" s="1" t="s">
        <v>33</v>
      </c>
      <c r="B121" s="97">
        <v>6</v>
      </c>
      <c r="C121" s="101" t="s">
        <v>125</v>
      </c>
      <c r="D121" s="10"/>
    </row>
    <row r="122" spans="1:4" x14ac:dyDescent="0.25">
      <c r="A122" s="95"/>
      <c r="B122" s="98"/>
      <c r="C122" s="52"/>
      <c r="D122" s="52"/>
    </row>
    <row r="123" spans="1:4" ht="14.25" x14ac:dyDescent="0.25">
      <c r="A123" s="106" t="s">
        <v>58</v>
      </c>
      <c r="B123" s="127">
        <f>SUM(B124:B128)</f>
        <v>24</v>
      </c>
      <c r="C123" s="114" t="s">
        <v>37</v>
      </c>
      <c r="D123" s="103"/>
    </row>
    <row r="124" spans="1:4" x14ac:dyDescent="0.25">
      <c r="A124" s="93" t="s">
        <v>27</v>
      </c>
      <c r="B124" s="115">
        <v>4</v>
      </c>
      <c r="C124" s="110" t="s">
        <v>112</v>
      </c>
      <c r="D124" s="94"/>
    </row>
    <row r="125" spans="1:4" x14ac:dyDescent="0.25">
      <c r="A125" s="2" t="s">
        <v>28</v>
      </c>
      <c r="B125" s="97">
        <v>10</v>
      </c>
      <c r="C125" s="101" t="s">
        <v>128</v>
      </c>
      <c r="D125" s="10"/>
    </row>
    <row r="126" spans="1:4" x14ac:dyDescent="0.25">
      <c r="A126" s="2" t="s">
        <v>33</v>
      </c>
      <c r="B126" s="97">
        <v>6</v>
      </c>
      <c r="C126" s="101" t="s">
        <v>129</v>
      </c>
      <c r="D126" s="10"/>
    </row>
    <row r="127" spans="1:4" x14ac:dyDescent="0.25">
      <c r="A127" s="51" t="s">
        <v>111</v>
      </c>
      <c r="B127" s="98">
        <v>4</v>
      </c>
      <c r="C127" s="135" t="s">
        <v>131</v>
      </c>
      <c r="D127" s="52"/>
    </row>
    <row r="128" spans="1:4" x14ac:dyDescent="0.25">
      <c r="A128" s="51"/>
      <c r="B128" s="98"/>
      <c r="C128" s="52"/>
      <c r="D128" s="52"/>
    </row>
    <row r="129" spans="1:4" ht="14.25" x14ac:dyDescent="0.25">
      <c r="A129" s="106" t="s">
        <v>59</v>
      </c>
      <c r="B129" s="127">
        <f>SUM(B130:B131)</f>
        <v>27</v>
      </c>
      <c r="C129" s="114" t="s">
        <v>36</v>
      </c>
      <c r="D129" s="103"/>
    </row>
    <row r="130" spans="1:4" x14ac:dyDescent="0.25">
      <c r="A130" s="99" t="s">
        <v>111</v>
      </c>
      <c r="B130" s="126">
        <v>27</v>
      </c>
      <c r="C130" s="112" t="s">
        <v>130</v>
      </c>
      <c r="D130" s="100"/>
    </row>
    <row r="131" spans="1:4" ht="14.25" thickBot="1" x14ac:dyDescent="0.3">
      <c r="A131" s="3"/>
      <c r="B131" s="128"/>
      <c r="C131" s="11"/>
      <c r="D131" s="11"/>
    </row>
    <row r="132" spans="1:4" ht="14.25" thickBot="1" x14ac:dyDescent="0.3">
      <c r="A132" s="12" t="s">
        <v>22</v>
      </c>
      <c r="B132" s="129">
        <f>SUM(B112,B118,B123,B129)</f>
        <v>90</v>
      </c>
      <c r="C132" s="88" t="s">
        <v>38</v>
      </c>
      <c r="D132" s="13"/>
    </row>
    <row r="133" spans="1:4" ht="14.25" x14ac:dyDescent="0.3">
      <c r="A133" s="14"/>
      <c r="B133" s="14"/>
      <c r="C133" s="14"/>
      <c r="D133" s="14"/>
    </row>
    <row r="134" spans="1:4" x14ac:dyDescent="0.25">
      <c r="A134" s="89" t="s">
        <v>34</v>
      </c>
    </row>
  </sheetData>
  <sheetProtection insertRows="0" selectLockedCells="1"/>
  <dataValidations count="4">
    <dataValidation type="list" allowBlank="1" showInputMessage="1" showErrorMessage="1" sqref="A28:A31 A113:A117 A119:A122 A72:A78 A45:A50 A4:A7 A16:A18 A20:A22 A124:A128 A130:A131 A9:A14 A33:A37 A39:A43 A56:A57 A59:A64 A84:A88 A66:A70 A90:A94 A96:A100 A102:A10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3 B51 B79 B108 B132">
      <formula1>0</formula1>
      <formula2>NbPerWeek * NbQuartPer</formula2>
    </dataValidation>
    <dataValidation type="whole" errorStyle="warning" operator="greaterThan" allowBlank="1" showInputMessage="1" showErrorMessage="1" errorTitle="Durée en 1/3 de période" error="Le nombre doit être de type entier" sqref="B112:B131 B3:B22 B27:B50 F37:F53 B55:B78 B83:B10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54">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1985"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1985" r:id="rId4"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election activeCell="C28" sqref="C2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row>
    <row r="2" spans="1:4" ht="27.75" thickBot="1" x14ac:dyDescent="0.3">
      <c r="A2" s="46" t="s">
        <v>3</v>
      </c>
      <c r="B2" s="47" t="s">
        <v>15</v>
      </c>
      <c r="C2" s="46" t="s">
        <v>7</v>
      </c>
      <c r="D2" s="46"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22</v>
      </c>
      <c r="B18" s="48">
        <f>SUM(B3:B17)</f>
        <v>0</v>
      </c>
      <c r="C18" s="49"/>
      <c r="D18" s="49"/>
    </row>
    <row r="19" spans="1:9" ht="14.25" x14ac:dyDescent="0.3">
      <c r="A19" s="50"/>
      <c r="B19" s="50"/>
      <c r="C19" s="50"/>
      <c r="D19" s="50"/>
    </row>
    <row r="23" spans="1:9" x14ac:dyDescent="0.25">
      <c r="A23" s="20"/>
      <c r="B23" s="20"/>
      <c r="C23" s="20"/>
      <c r="D23" s="20"/>
    </row>
    <row r="24" spans="1:9" x14ac:dyDescent="0.25">
      <c r="A24" s="20"/>
      <c r="B24" s="20"/>
      <c r="C24" s="20"/>
      <c r="D24" s="20"/>
      <c r="E24" s="20"/>
      <c r="F24" s="20"/>
      <c r="G24" s="20"/>
      <c r="H24" s="20"/>
      <c r="I24" s="20"/>
    </row>
    <row r="25" spans="1:9" ht="12.75" customHeight="1" x14ac:dyDescent="0.25">
      <c r="A25" s="31"/>
      <c r="B25" s="32"/>
      <c r="C25" s="33"/>
      <c r="D25" s="34"/>
      <c r="E25" s="20"/>
      <c r="F25" s="32"/>
      <c r="G25" s="33"/>
      <c r="H25" s="34"/>
      <c r="I25" s="20"/>
    </row>
    <row r="26" spans="1:9" ht="15" x14ac:dyDescent="0.25">
      <c r="A26" s="31"/>
      <c r="B26" s="35"/>
      <c r="C26" s="31"/>
      <c r="D26" s="31"/>
      <c r="E26" s="20"/>
      <c r="F26" s="35"/>
      <c r="G26" s="31"/>
      <c r="H26" s="31"/>
      <c r="I26" s="20"/>
    </row>
    <row r="27" spans="1:9" x14ac:dyDescent="0.25">
      <c r="A27" s="36"/>
      <c r="B27" s="37"/>
      <c r="C27" s="38"/>
      <c r="D27" s="38"/>
      <c r="E27" s="20"/>
      <c r="F27" s="37"/>
      <c r="G27" s="38"/>
      <c r="H27" s="38"/>
      <c r="I27" s="20"/>
    </row>
    <row r="28" spans="1:9" x14ac:dyDescent="0.25">
      <c r="A28" s="36"/>
      <c r="B28" s="37"/>
      <c r="C28" s="38"/>
      <c r="D28" s="38"/>
      <c r="E28" s="20"/>
      <c r="F28" s="37"/>
      <c r="G28" s="38"/>
      <c r="H28" s="38"/>
      <c r="I28" s="20"/>
    </row>
    <row r="29" spans="1:9" x14ac:dyDescent="0.25">
      <c r="A29" s="36"/>
      <c r="B29" s="37"/>
      <c r="C29" s="38"/>
      <c r="D29" s="38"/>
      <c r="E29" s="20"/>
      <c r="F29" s="37"/>
      <c r="G29" s="38"/>
      <c r="H29" s="38"/>
      <c r="I29" s="20"/>
    </row>
    <row r="30" spans="1:9" x14ac:dyDescent="0.25">
      <c r="A30" s="36"/>
      <c r="B30" s="37"/>
      <c r="C30" s="38"/>
      <c r="D30" s="38"/>
      <c r="E30" s="20"/>
      <c r="F30" s="37"/>
      <c r="G30" s="38"/>
      <c r="H30" s="38"/>
      <c r="I30" s="20"/>
    </row>
    <row r="31" spans="1:9" x14ac:dyDescent="0.25">
      <c r="A31" s="37"/>
      <c r="B31" s="37"/>
      <c r="C31" s="38"/>
      <c r="D31" s="38"/>
      <c r="E31" s="20"/>
      <c r="F31" s="37"/>
      <c r="G31" s="38"/>
      <c r="H31" s="38"/>
      <c r="I31" s="20"/>
    </row>
    <row r="32" spans="1:9" x14ac:dyDescent="0.25">
      <c r="A32" s="37"/>
      <c r="B32" s="37"/>
      <c r="C32" s="38"/>
      <c r="D32" s="38"/>
      <c r="E32" s="20"/>
      <c r="F32" s="37"/>
      <c r="G32" s="38"/>
      <c r="H32" s="38"/>
      <c r="I32" s="20"/>
    </row>
    <row r="33" spans="1:9" x14ac:dyDescent="0.25">
      <c r="A33" s="37"/>
      <c r="B33" s="37"/>
      <c r="C33" s="38"/>
      <c r="D33" s="38"/>
      <c r="E33" s="20"/>
      <c r="F33" s="37"/>
      <c r="G33" s="38"/>
      <c r="H33" s="38"/>
      <c r="I33" s="20"/>
    </row>
    <row r="34" spans="1:9" x14ac:dyDescent="0.25">
      <c r="A34" s="37"/>
      <c r="B34" s="37"/>
      <c r="C34" s="38"/>
      <c r="D34" s="38"/>
      <c r="E34" s="20"/>
      <c r="F34" s="37"/>
      <c r="G34" s="38"/>
      <c r="H34" s="38"/>
      <c r="I34" s="20"/>
    </row>
    <row r="35" spans="1:9" x14ac:dyDescent="0.25">
      <c r="A35" s="39"/>
      <c r="B35" s="39"/>
      <c r="C35" s="40"/>
      <c r="D35" s="40"/>
      <c r="E35" s="20"/>
      <c r="F35" s="39"/>
      <c r="G35" s="40"/>
      <c r="H35" s="40"/>
      <c r="I35" s="20"/>
    </row>
    <row r="36" spans="1:9" ht="14.25" x14ac:dyDescent="0.3">
      <c r="A36" s="41"/>
      <c r="B36" s="41"/>
      <c r="C36" s="41"/>
      <c r="D36" s="41"/>
      <c r="E36" s="20"/>
      <c r="F36" s="41"/>
      <c r="G36" s="41"/>
      <c r="H36" s="41"/>
      <c r="I36" s="20"/>
    </row>
    <row r="37" spans="1:9" x14ac:dyDescent="0.25">
      <c r="A37" s="20"/>
      <c r="B37" s="20"/>
      <c r="C37" s="20"/>
      <c r="D37" s="20"/>
      <c r="E37" s="20"/>
      <c r="F37" s="20"/>
      <c r="G37" s="20"/>
      <c r="H37" s="20"/>
      <c r="I37" s="20"/>
    </row>
    <row r="38" spans="1:9" x14ac:dyDescent="0.25">
      <c r="E38" s="20"/>
      <c r="F38" s="20"/>
      <c r="G38" s="20"/>
      <c r="H38" s="20"/>
      <c r="I38" s="20"/>
    </row>
    <row r="39" spans="1:9" x14ac:dyDescent="0.25">
      <c r="E39" s="20"/>
      <c r="F39" s="20"/>
      <c r="G39" s="20"/>
      <c r="H39" s="20"/>
      <c r="I39" s="20"/>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dimension ref="A1:I87"/>
  <sheetViews>
    <sheetView topLeftCell="A13" workbookViewId="0">
      <selection activeCell="C27" sqref="C27"/>
    </sheetView>
  </sheetViews>
  <sheetFormatPr baseColWidth="10" defaultColWidth="11.42578125" defaultRowHeight="13.5" x14ac:dyDescent="0.25"/>
  <cols>
    <col min="1" max="1" width="22.8554687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f>Donnees!$C$9</f>
        <v>43227</v>
      </c>
    </row>
    <row r="2" spans="1:4" ht="27.75" thickBot="1" x14ac:dyDescent="0.3">
      <c r="A2" s="46" t="s">
        <v>3</v>
      </c>
      <c r="B2" s="47" t="s">
        <v>15</v>
      </c>
      <c r="C2" s="46" t="s">
        <v>7</v>
      </c>
      <c r="D2" s="46" t="s">
        <v>13</v>
      </c>
    </row>
    <row r="3" spans="1:4" s="53" customFormat="1" ht="14.25" x14ac:dyDescent="0.25">
      <c r="A3" s="121" t="s">
        <v>74</v>
      </c>
      <c r="B3" s="122">
        <f>SUM(B4:B7)</f>
        <v>12</v>
      </c>
      <c r="C3" s="123" t="s">
        <v>35</v>
      </c>
      <c r="D3" s="124"/>
    </row>
    <row r="4" spans="1:4" s="53" customFormat="1" x14ac:dyDescent="0.25">
      <c r="A4" s="92" t="s">
        <v>31</v>
      </c>
      <c r="B4" s="93">
        <v>2</v>
      </c>
      <c r="C4" s="110" t="s">
        <v>44</v>
      </c>
      <c r="D4" s="94"/>
    </row>
    <row r="5" spans="1:4" s="53" customFormat="1" ht="54" x14ac:dyDescent="0.25">
      <c r="A5" s="92" t="s">
        <v>30</v>
      </c>
      <c r="B5" s="93">
        <v>8</v>
      </c>
      <c r="C5" s="110" t="s">
        <v>52</v>
      </c>
      <c r="D5" s="110" t="s">
        <v>51</v>
      </c>
    </row>
    <row r="6" spans="1:4" s="53" customFormat="1" ht="40.5" x14ac:dyDescent="0.25">
      <c r="A6" s="111" t="s">
        <v>27</v>
      </c>
      <c r="B6" s="99">
        <v>2</v>
      </c>
      <c r="C6" s="112" t="s">
        <v>46</v>
      </c>
      <c r="D6" s="112" t="s">
        <v>93</v>
      </c>
    </row>
    <row r="7" spans="1:4" s="53" customFormat="1" x14ac:dyDescent="0.25">
      <c r="A7" s="95"/>
      <c r="B7" s="51"/>
      <c r="C7" s="52"/>
      <c r="D7" s="52"/>
    </row>
    <row r="8" spans="1:4" s="53" customFormat="1" ht="14.25" x14ac:dyDescent="0.25">
      <c r="A8" s="120" t="s">
        <v>75</v>
      </c>
      <c r="B8" s="117">
        <f>SUM(B9:B13)</f>
        <v>27</v>
      </c>
      <c r="C8" s="118" t="s">
        <v>36</v>
      </c>
      <c r="D8" s="119"/>
    </row>
    <row r="9" spans="1:4" s="53" customFormat="1" x14ac:dyDescent="0.25">
      <c r="A9" s="115" t="s">
        <v>21</v>
      </c>
      <c r="B9" s="93">
        <v>15</v>
      </c>
      <c r="C9" s="110" t="s">
        <v>53</v>
      </c>
      <c r="D9" s="94"/>
    </row>
    <row r="10" spans="1:4" s="53" customFormat="1" ht="54" x14ac:dyDescent="0.25">
      <c r="A10" s="115" t="s">
        <v>39</v>
      </c>
      <c r="B10" s="93">
        <v>8</v>
      </c>
      <c r="C10" s="110" t="s">
        <v>79</v>
      </c>
      <c r="D10" s="110" t="s">
        <v>94</v>
      </c>
    </row>
    <row r="11" spans="1:4" s="53" customFormat="1" ht="54" x14ac:dyDescent="0.25">
      <c r="A11" s="2" t="s">
        <v>27</v>
      </c>
      <c r="B11" s="2">
        <v>3</v>
      </c>
      <c r="C11" s="101" t="s">
        <v>78</v>
      </c>
      <c r="D11" s="101" t="s">
        <v>93</v>
      </c>
    </row>
    <row r="12" spans="1:4" s="53" customFormat="1" ht="40.5" x14ac:dyDescent="0.25">
      <c r="A12" s="2" t="s">
        <v>28</v>
      </c>
      <c r="B12" s="2">
        <v>1</v>
      </c>
      <c r="C12" s="101" t="s">
        <v>92</v>
      </c>
      <c r="D12" s="101" t="s">
        <v>95</v>
      </c>
    </row>
    <row r="13" spans="1:4" s="53" customFormat="1" x14ac:dyDescent="0.25">
      <c r="A13" s="51"/>
      <c r="B13" s="51"/>
      <c r="C13" s="52"/>
      <c r="D13" s="52"/>
    </row>
    <row r="14" spans="1:4" s="53" customFormat="1" ht="14.25" x14ac:dyDescent="0.25">
      <c r="A14" s="116" t="s">
        <v>76</v>
      </c>
      <c r="B14" s="117">
        <f>SUM(B15:B16)</f>
        <v>24</v>
      </c>
      <c r="C14" s="118" t="s">
        <v>37</v>
      </c>
      <c r="D14" s="119"/>
    </row>
    <row r="15" spans="1:4" s="53" customFormat="1" x14ac:dyDescent="0.25">
      <c r="A15" s="93" t="s">
        <v>41</v>
      </c>
      <c r="B15" s="93">
        <v>24</v>
      </c>
      <c r="C15" s="110" t="s">
        <v>42</v>
      </c>
      <c r="D15" s="94"/>
    </row>
    <row r="16" spans="1:4" s="53" customFormat="1" x14ac:dyDescent="0.25">
      <c r="A16" s="99"/>
      <c r="B16" s="99"/>
      <c r="C16" s="100"/>
      <c r="D16" s="100"/>
    </row>
    <row r="17" spans="1:9" s="53" customFormat="1" ht="14.25" x14ac:dyDescent="0.25">
      <c r="A17" s="116" t="s">
        <v>77</v>
      </c>
      <c r="B17" s="117">
        <f>SUM(B18:B19)</f>
        <v>27</v>
      </c>
      <c r="C17" s="118" t="s">
        <v>36</v>
      </c>
      <c r="D17" s="119"/>
    </row>
    <row r="18" spans="1:9" s="53" customFormat="1" x14ac:dyDescent="0.25">
      <c r="A18" s="99" t="s">
        <v>41</v>
      </c>
      <c r="B18" s="99">
        <v>27</v>
      </c>
      <c r="C18" s="112" t="s">
        <v>43</v>
      </c>
      <c r="D18" s="100"/>
    </row>
    <row r="19" spans="1:9" s="53" customFormat="1" ht="14.25" thickBot="1" x14ac:dyDescent="0.3">
      <c r="A19" s="51"/>
      <c r="B19" s="51"/>
      <c r="C19" s="52"/>
      <c r="D19" s="52"/>
    </row>
    <row r="20" spans="1:9" ht="14.25" thickBot="1" x14ac:dyDescent="0.3">
      <c r="A20" s="48" t="s">
        <v>22</v>
      </c>
      <c r="B20" s="48">
        <f>SUM(B4:B7,B9:B13,B15:B16,B18:B19)</f>
        <v>90</v>
      </c>
      <c r="C20" s="90" t="s">
        <v>38</v>
      </c>
      <c r="D20" s="49"/>
    </row>
    <row r="21" spans="1:9" ht="15" thickBot="1" x14ac:dyDescent="0.35">
      <c r="A21" s="50"/>
      <c r="B21" s="50"/>
      <c r="C21" s="50"/>
      <c r="D21" s="50"/>
    </row>
    <row r="22" spans="1:9" ht="18.75" thickBot="1" x14ac:dyDescent="0.3">
      <c r="A22" s="43" t="s">
        <v>14</v>
      </c>
      <c r="B22" s="44">
        <v>2</v>
      </c>
      <c r="C22" s="45" t="s">
        <v>23</v>
      </c>
      <c r="D22" s="54">
        <f>$D$1+7</f>
        <v>43234</v>
      </c>
    </row>
    <row r="23" spans="1:9" ht="27.75" thickBot="1" x14ac:dyDescent="0.3">
      <c r="A23" s="46" t="s">
        <v>3</v>
      </c>
      <c r="B23" s="47" t="s">
        <v>15</v>
      </c>
      <c r="C23" s="46" t="s">
        <v>7</v>
      </c>
      <c r="D23" s="46" t="s">
        <v>13</v>
      </c>
    </row>
    <row r="24" spans="1:9" ht="14.25" x14ac:dyDescent="0.25">
      <c r="A24" s="121" t="s">
        <v>70</v>
      </c>
      <c r="B24" s="122">
        <f>SUM(B25:B27)</f>
        <v>6</v>
      </c>
      <c r="C24" s="123" t="s">
        <v>35</v>
      </c>
      <c r="D24" s="124"/>
    </row>
    <row r="25" spans="1:9" ht="40.5" x14ac:dyDescent="0.25">
      <c r="A25" s="92" t="s">
        <v>27</v>
      </c>
      <c r="B25" s="93">
        <v>1</v>
      </c>
      <c r="C25" s="110" t="s">
        <v>48</v>
      </c>
      <c r="D25" s="110" t="s">
        <v>93</v>
      </c>
    </row>
    <row r="26" spans="1:9" ht="40.5" x14ac:dyDescent="0.25">
      <c r="A26" s="92" t="s">
        <v>39</v>
      </c>
      <c r="B26" s="93">
        <v>5</v>
      </c>
      <c r="C26" s="110" t="s">
        <v>47</v>
      </c>
      <c r="D26" s="110" t="s">
        <v>94</v>
      </c>
    </row>
    <row r="27" spans="1:9" x14ac:dyDescent="0.25">
      <c r="A27" s="92"/>
      <c r="B27" s="93"/>
      <c r="C27" s="110"/>
      <c r="D27" s="110"/>
      <c r="E27" s="20"/>
      <c r="F27" s="20"/>
      <c r="G27" s="20"/>
      <c r="H27" s="20"/>
      <c r="I27" s="20"/>
    </row>
    <row r="28" spans="1:9" ht="15" x14ac:dyDescent="0.25">
      <c r="A28" s="120" t="s">
        <v>71</v>
      </c>
      <c r="B28" s="117">
        <f>SUM(B29:B30)</f>
        <v>0</v>
      </c>
      <c r="C28" s="118" t="s">
        <v>36</v>
      </c>
      <c r="D28" s="119"/>
      <c r="E28" s="20"/>
      <c r="F28" s="35"/>
      <c r="G28" s="31"/>
      <c r="H28" s="31"/>
      <c r="I28" s="20"/>
    </row>
    <row r="29" spans="1:9" x14ac:dyDescent="0.25">
      <c r="A29" s="2"/>
      <c r="B29" s="2"/>
      <c r="C29" s="101"/>
      <c r="D29" s="10"/>
      <c r="E29" s="20"/>
      <c r="F29" s="37"/>
      <c r="G29" s="38"/>
      <c r="H29" s="38"/>
      <c r="I29" s="20"/>
    </row>
    <row r="30" spans="1:9" x14ac:dyDescent="0.25">
      <c r="A30" s="51"/>
      <c r="B30" s="51"/>
      <c r="C30" s="52"/>
      <c r="D30" s="52"/>
      <c r="E30" s="20"/>
      <c r="F30" s="37"/>
      <c r="G30" s="38"/>
      <c r="H30" s="38"/>
      <c r="I30" s="20"/>
    </row>
    <row r="31" spans="1:9" ht="14.25" x14ac:dyDescent="0.25">
      <c r="A31" s="116" t="s">
        <v>72</v>
      </c>
      <c r="B31" s="117">
        <f>SUM(B32:B33)</f>
        <v>0</v>
      </c>
      <c r="C31" s="118" t="s">
        <v>37</v>
      </c>
      <c r="D31" s="119"/>
      <c r="E31" s="20"/>
      <c r="F31" s="37"/>
      <c r="G31" s="38"/>
      <c r="H31" s="38"/>
      <c r="I31" s="20"/>
    </row>
    <row r="32" spans="1:9" x14ac:dyDescent="0.25">
      <c r="A32" s="93"/>
      <c r="B32" s="93"/>
      <c r="C32" s="110"/>
      <c r="D32" s="94"/>
      <c r="E32" s="20"/>
      <c r="F32" s="37"/>
      <c r="G32" s="38"/>
      <c r="H32" s="38"/>
      <c r="I32" s="20"/>
    </row>
    <row r="33" spans="1:9" x14ac:dyDescent="0.25">
      <c r="A33" s="99"/>
      <c r="B33" s="99"/>
      <c r="C33" s="100"/>
      <c r="D33" s="100"/>
      <c r="E33" s="20"/>
      <c r="F33" s="37"/>
      <c r="G33" s="38"/>
      <c r="H33" s="38"/>
      <c r="I33" s="20"/>
    </row>
    <row r="34" spans="1:9" ht="14.25" x14ac:dyDescent="0.25">
      <c r="A34" s="116" t="s">
        <v>73</v>
      </c>
      <c r="B34" s="117">
        <f>SUM(B35:B36)</f>
        <v>0</v>
      </c>
      <c r="C34" s="118" t="s">
        <v>36</v>
      </c>
      <c r="D34" s="119"/>
      <c r="E34" s="20"/>
      <c r="F34" s="37"/>
      <c r="G34" s="38"/>
      <c r="H34" s="38"/>
      <c r="I34" s="20"/>
    </row>
    <row r="35" spans="1:9" x14ac:dyDescent="0.25">
      <c r="A35" s="99"/>
      <c r="B35" s="99"/>
      <c r="C35" s="112"/>
      <c r="D35" s="100"/>
      <c r="E35" s="20"/>
      <c r="F35" s="37"/>
      <c r="G35" s="38"/>
      <c r="H35" s="38"/>
      <c r="I35" s="20"/>
    </row>
    <row r="36" spans="1:9" ht="14.25" thickBot="1" x14ac:dyDescent="0.3">
      <c r="A36" s="51"/>
      <c r="B36" s="51"/>
      <c r="C36" s="52"/>
      <c r="D36" s="52"/>
      <c r="E36" s="20"/>
      <c r="F36" s="39"/>
      <c r="G36" s="40"/>
      <c r="H36" s="40"/>
      <c r="I36" s="20"/>
    </row>
    <row r="37" spans="1:9" ht="15" thickBot="1" x14ac:dyDescent="0.35">
      <c r="A37" s="48" t="s">
        <v>22</v>
      </c>
      <c r="B37" s="48">
        <f>SUM(B25:B27,B29:B30,B32:B33,B35:B36)</f>
        <v>6</v>
      </c>
      <c r="C37" s="90" t="s">
        <v>38</v>
      </c>
      <c r="D37" s="49"/>
      <c r="E37" s="20"/>
      <c r="F37" s="41"/>
      <c r="G37" s="41"/>
      <c r="H37" s="41"/>
      <c r="I37" s="20"/>
    </row>
    <row r="38" spans="1:9" ht="15" thickBot="1" x14ac:dyDescent="0.35">
      <c r="A38" s="50"/>
      <c r="B38" s="50"/>
      <c r="C38" s="50"/>
      <c r="D38" s="50"/>
      <c r="E38" s="20"/>
      <c r="F38" s="20"/>
      <c r="G38" s="20"/>
      <c r="H38" s="20"/>
      <c r="I38" s="20"/>
    </row>
    <row r="39" spans="1:9" ht="18.75" thickBot="1" x14ac:dyDescent="0.3">
      <c r="A39" s="43" t="s">
        <v>14</v>
      </c>
      <c r="B39" s="44">
        <v>3</v>
      </c>
      <c r="C39" s="45" t="s">
        <v>23</v>
      </c>
      <c r="D39" s="54">
        <f>$D$22+7</f>
        <v>43241</v>
      </c>
      <c r="E39" s="20"/>
      <c r="F39" s="20"/>
      <c r="G39" s="20"/>
      <c r="H39" s="20"/>
      <c r="I39" s="20"/>
    </row>
    <row r="40" spans="1:9" ht="27.75" thickBot="1" x14ac:dyDescent="0.3">
      <c r="A40" s="46" t="s">
        <v>3</v>
      </c>
      <c r="B40" s="47" t="s">
        <v>15</v>
      </c>
      <c r="C40" s="46" t="s">
        <v>7</v>
      </c>
      <c r="D40" s="46" t="s">
        <v>13</v>
      </c>
    </row>
    <row r="41" spans="1:9" ht="14.25" x14ac:dyDescent="0.25">
      <c r="A41" s="121" t="s">
        <v>66</v>
      </c>
      <c r="B41" s="122">
        <f>SUM(B42:B43)</f>
        <v>12</v>
      </c>
      <c r="C41" s="123" t="s">
        <v>35</v>
      </c>
      <c r="D41" s="124"/>
    </row>
    <row r="42" spans="1:9" x14ac:dyDescent="0.25">
      <c r="A42" s="92" t="s">
        <v>41</v>
      </c>
      <c r="B42" s="93">
        <v>12</v>
      </c>
      <c r="C42" s="110" t="s">
        <v>82</v>
      </c>
      <c r="D42" s="94"/>
    </row>
    <row r="43" spans="1:9" x14ac:dyDescent="0.25">
      <c r="A43" s="95"/>
      <c r="B43" s="51"/>
      <c r="C43" s="52"/>
      <c r="D43" s="52"/>
    </row>
    <row r="44" spans="1:9" ht="14.25" x14ac:dyDescent="0.25">
      <c r="A44" s="120" t="s">
        <v>67</v>
      </c>
      <c r="B44" s="117">
        <f>SUM(B45:B46)</f>
        <v>0</v>
      </c>
      <c r="C44" s="118" t="s">
        <v>36</v>
      </c>
      <c r="D44" s="119"/>
    </row>
    <row r="45" spans="1:9" x14ac:dyDescent="0.25">
      <c r="A45" s="2"/>
      <c r="B45" s="2"/>
      <c r="C45" s="101"/>
      <c r="D45" s="10"/>
    </row>
    <row r="46" spans="1:9" x14ac:dyDescent="0.25">
      <c r="A46" s="51"/>
      <c r="B46" s="51"/>
      <c r="C46" s="52"/>
      <c r="D46" s="52"/>
    </row>
    <row r="47" spans="1:9" ht="14.25" x14ac:dyDescent="0.25">
      <c r="A47" s="116" t="s">
        <v>68</v>
      </c>
      <c r="B47" s="117">
        <f>SUM(B48:B49)</f>
        <v>0</v>
      </c>
      <c r="C47" s="118" t="s">
        <v>37</v>
      </c>
      <c r="D47" s="119"/>
    </row>
    <row r="48" spans="1:9" x14ac:dyDescent="0.25">
      <c r="A48" s="93"/>
      <c r="B48" s="93"/>
      <c r="C48" s="110"/>
      <c r="D48" s="94"/>
    </row>
    <row r="49" spans="1:4" x14ac:dyDescent="0.25">
      <c r="A49" s="99"/>
      <c r="B49" s="99"/>
      <c r="C49" s="100"/>
      <c r="D49" s="100"/>
    </row>
    <row r="50" spans="1:4" ht="14.25" x14ac:dyDescent="0.25">
      <c r="A50" s="116" t="s">
        <v>69</v>
      </c>
      <c r="B50" s="117">
        <f>SUM(B51:B52)</f>
        <v>0</v>
      </c>
      <c r="C50" s="118" t="s">
        <v>36</v>
      </c>
      <c r="D50" s="119"/>
    </row>
    <row r="51" spans="1:4" x14ac:dyDescent="0.25">
      <c r="A51" s="99"/>
      <c r="B51" s="99"/>
      <c r="C51" s="112"/>
      <c r="D51" s="100"/>
    </row>
    <row r="52" spans="1:4" ht="14.25" thickBot="1" x14ac:dyDescent="0.3">
      <c r="A52" s="51"/>
      <c r="B52" s="51"/>
      <c r="C52" s="52"/>
      <c r="D52" s="52"/>
    </row>
    <row r="53" spans="1:4" ht="14.25" thickBot="1" x14ac:dyDescent="0.3">
      <c r="A53" s="48" t="s">
        <v>22</v>
      </c>
      <c r="B53" s="48">
        <f>SUM(B42:B43,B45:B46,B48:B49,B51:B52)</f>
        <v>12</v>
      </c>
      <c r="C53" s="90" t="s">
        <v>38</v>
      </c>
      <c r="D53" s="49"/>
    </row>
    <row r="54" spans="1:4" ht="15" thickBot="1" x14ac:dyDescent="0.35">
      <c r="A54" s="50"/>
      <c r="B54" s="50"/>
      <c r="C54" s="50"/>
      <c r="D54" s="50"/>
    </row>
    <row r="55" spans="1:4" ht="18.75" thickBot="1" x14ac:dyDescent="0.3">
      <c r="A55" s="43" t="s">
        <v>14</v>
      </c>
      <c r="B55" s="44">
        <v>4</v>
      </c>
      <c r="C55" s="45" t="s">
        <v>23</v>
      </c>
      <c r="D55" s="54">
        <f>$D$39+7</f>
        <v>43248</v>
      </c>
    </row>
    <row r="56" spans="1:4" ht="27.75" thickBot="1" x14ac:dyDescent="0.3">
      <c r="A56" s="46" t="s">
        <v>3</v>
      </c>
      <c r="B56" s="47" t="s">
        <v>15</v>
      </c>
      <c r="C56" s="46" t="s">
        <v>7</v>
      </c>
      <c r="D56" s="46" t="s">
        <v>13</v>
      </c>
    </row>
    <row r="57" spans="1:4" ht="14.25" x14ac:dyDescent="0.25">
      <c r="A57" s="121" t="s">
        <v>62</v>
      </c>
      <c r="B57" s="122">
        <f>SUM(B58:B59)</f>
        <v>0</v>
      </c>
      <c r="C57" s="123" t="s">
        <v>35</v>
      </c>
      <c r="D57" s="124"/>
    </row>
    <row r="58" spans="1:4" x14ac:dyDescent="0.25">
      <c r="A58" s="92"/>
      <c r="B58" s="93"/>
      <c r="C58" s="110"/>
      <c r="D58" s="94"/>
    </row>
    <row r="59" spans="1:4" x14ac:dyDescent="0.25">
      <c r="A59" s="95"/>
      <c r="B59" s="51"/>
      <c r="C59" s="52"/>
      <c r="D59" s="52"/>
    </row>
    <row r="60" spans="1:4" ht="14.25" x14ac:dyDescent="0.25">
      <c r="A60" s="120" t="s">
        <v>63</v>
      </c>
      <c r="B60" s="117">
        <f>SUM(B61:B62)</f>
        <v>0</v>
      </c>
      <c r="C60" s="118" t="s">
        <v>36</v>
      </c>
      <c r="D60" s="119"/>
    </row>
    <row r="61" spans="1:4" x14ac:dyDescent="0.25">
      <c r="A61" s="2"/>
      <c r="B61" s="2"/>
      <c r="C61" s="101"/>
      <c r="D61" s="10"/>
    </row>
    <row r="62" spans="1:4" x14ac:dyDescent="0.25">
      <c r="A62" s="51"/>
      <c r="B62" s="51"/>
      <c r="C62" s="52"/>
      <c r="D62" s="52"/>
    </row>
    <row r="63" spans="1:4" ht="14.25" x14ac:dyDescent="0.25">
      <c r="A63" s="116" t="s">
        <v>64</v>
      </c>
      <c r="B63" s="117">
        <f>SUM(B64:B65)</f>
        <v>0</v>
      </c>
      <c r="C63" s="118" t="s">
        <v>37</v>
      </c>
      <c r="D63" s="119"/>
    </row>
    <row r="64" spans="1:4" x14ac:dyDescent="0.25">
      <c r="A64" s="93"/>
      <c r="B64" s="93"/>
      <c r="C64" s="110"/>
      <c r="D64" s="94"/>
    </row>
    <row r="65" spans="1:4" x14ac:dyDescent="0.25">
      <c r="A65" s="99"/>
      <c r="B65" s="99"/>
      <c r="C65" s="100"/>
      <c r="D65" s="100"/>
    </row>
    <row r="66" spans="1:4" ht="14.25" x14ac:dyDescent="0.25">
      <c r="A66" s="116" t="s">
        <v>65</v>
      </c>
      <c r="B66" s="117">
        <f>SUM(B67:B68)</f>
        <v>0</v>
      </c>
      <c r="C66" s="118" t="s">
        <v>36</v>
      </c>
      <c r="D66" s="119"/>
    </row>
    <row r="67" spans="1:4" x14ac:dyDescent="0.25">
      <c r="A67" s="99"/>
      <c r="B67" s="99"/>
      <c r="C67" s="112"/>
      <c r="D67" s="100"/>
    </row>
    <row r="68" spans="1:4" ht="14.25" thickBot="1" x14ac:dyDescent="0.3">
      <c r="A68" s="51"/>
      <c r="B68" s="51"/>
      <c r="C68" s="52"/>
      <c r="D68" s="52"/>
    </row>
    <row r="69" spans="1:4" ht="14.25" thickBot="1" x14ac:dyDescent="0.3">
      <c r="A69" s="48" t="s">
        <v>22</v>
      </c>
      <c r="B69" s="48">
        <f>SUM(B58:B59,B61:B62,B64:B65,B67:B68)</f>
        <v>0</v>
      </c>
      <c r="C69" s="90" t="s">
        <v>38</v>
      </c>
      <c r="D69" s="49"/>
    </row>
    <row r="70" spans="1:4" ht="15" thickBot="1" x14ac:dyDescent="0.35">
      <c r="A70" s="50"/>
      <c r="B70" s="50"/>
      <c r="C70" s="50"/>
      <c r="D70" s="50"/>
    </row>
    <row r="71" spans="1:4" ht="18.75" thickBot="1" x14ac:dyDescent="0.3">
      <c r="A71" s="43" t="s">
        <v>14</v>
      </c>
      <c r="B71" s="44">
        <v>5</v>
      </c>
      <c r="C71" s="45" t="s">
        <v>23</v>
      </c>
      <c r="D71" s="54">
        <f>$D$55+7</f>
        <v>43255</v>
      </c>
    </row>
    <row r="72" spans="1:4" ht="27.75" thickBot="1" x14ac:dyDescent="0.3">
      <c r="A72" s="46" t="s">
        <v>3</v>
      </c>
      <c r="B72" s="47" t="s">
        <v>15</v>
      </c>
      <c r="C72" s="46" t="s">
        <v>7</v>
      </c>
      <c r="D72" s="46" t="s">
        <v>13</v>
      </c>
    </row>
    <row r="73" spans="1:4" ht="14.25" x14ac:dyDescent="0.25">
      <c r="A73" s="121" t="s">
        <v>61</v>
      </c>
      <c r="B73" s="122">
        <f>SUM(B74:B75)</f>
        <v>0</v>
      </c>
      <c r="C73" s="123" t="s">
        <v>35</v>
      </c>
      <c r="D73" s="124"/>
    </row>
    <row r="74" spans="1:4" x14ac:dyDescent="0.25">
      <c r="A74" s="92"/>
      <c r="B74" s="93"/>
      <c r="C74" s="110"/>
      <c r="D74" s="94"/>
    </row>
    <row r="75" spans="1:4" x14ac:dyDescent="0.25">
      <c r="A75" s="92"/>
      <c r="B75" s="93"/>
      <c r="C75" s="110"/>
      <c r="D75" s="110"/>
    </row>
    <row r="76" spans="1:4" ht="14.25" x14ac:dyDescent="0.25">
      <c r="A76" s="120" t="s">
        <v>60</v>
      </c>
      <c r="B76" s="117">
        <f>SUM(B77:B78)</f>
        <v>0</v>
      </c>
      <c r="C76" s="118" t="s">
        <v>36</v>
      </c>
      <c r="D76" s="119"/>
    </row>
    <row r="77" spans="1:4" x14ac:dyDescent="0.25">
      <c r="A77" s="2"/>
      <c r="B77" s="2"/>
      <c r="C77" s="101"/>
      <c r="D77" s="10"/>
    </row>
    <row r="78" spans="1:4" x14ac:dyDescent="0.25">
      <c r="A78" s="51"/>
      <c r="B78" s="51"/>
      <c r="C78" s="52"/>
      <c r="D78" s="52"/>
    </row>
    <row r="79" spans="1:4" ht="14.25" x14ac:dyDescent="0.25">
      <c r="A79" s="116" t="s">
        <v>58</v>
      </c>
      <c r="B79" s="117">
        <f>SUM(B80:B81)</f>
        <v>0</v>
      </c>
      <c r="C79" s="118" t="s">
        <v>37</v>
      </c>
      <c r="D79" s="119"/>
    </row>
    <row r="80" spans="1:4" x14ac:dyDescent="0.25">
      <c r="A80" s="93"/>
      <c r="B80" s="93"/>
      <c r="C80" s="110"/>
      <c r="D80" s="94"/>
    </row>
    <row r="81" spans="1:4" x14ac:dyDescent="0.25">
      <c r="A81" s="99"/>
      <c r="B81" s="99"/>
      <c r="C81" s="100"/>
      <c r="D81" s="100"/>
    </row>
    <row r="82" spans="1:4" ht="14.25" x14ac:dyDescent="0.25">
      <c r="A82" s="116" t="s">
        <v>59</v>
      </c>
      <c r="B82" s="117">
        <f>SUM(B83:B84)</f>
        <v>0</v>
      </c>
      <c r="C82" s="118" t="s">
        <v>36</v>
      </c>
      <c r="D82" s="119"/>
    </row>
    <row r="83" spans="1:4" x14ac:dyDescent="0.25">
      <c r="A83" s="99"/>
      <c r="B83" s="99"/>
      <c r="C83" s="112"/>
      <c r="D83" s="100"/>
    </row>
    <row r="84" spans="1:4" ht="14.25" thickBot="1" x14ac:dyDescent="0.3">
      <c r="A84" s="51"/>
      <c r="B84" s="51"/>
      <c r="C84" s="52"/>
      <c r="D84" s="52"/>
    </row>
    <row r="85" spans="1:4" ht="14.25" thickBot="1" x14ac:dyDescent="0.3">
      <c r="A85" s="48" t="s">
        <v>22</v>
      </c>
      <c r="B85" s="48">
        <f>SUM(B74:B75,B77:B78,B80:B81,B83:B84)</f>
        <v>0</v>
      </c>
      <c r="C85" s="90" t="s">
        <v>38</v>
      </c>
      <c r="D85" s="49"/>
    </row>
    <row r="86" spans="1:4" ht="14.25" x14ac:dyDescent="0.3">
      <c r="A86" s="50"/>
      <c r="B86" s="50"/>
      <c r="C86" s="50"/>
      <c r="D86" s="50"/>
    </row>
    <row r="87" spans="1:4" x14ac:dyDescent="0.25">
      <c r="A87" s="89" t="s">
        <v>34</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6">
      <formula1>0</formula1>
      <formula2>DureePeriode-1</formula2>
    </dataValidation>
    <dataValidation type="whole" errorStyle="warning" operator="greaterThan" allowBlank="1" showInputMessage="1" showErrorMessage="1" errorTitle="Durée en 1/3 de période" error="Le nombre doit être de type entier" sqref="B3:B19 F29:F35 B41:B52 B57:B68 B73:B84 B24:B36">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0 B37 B69 B53 B85">
      <formula1>0</formula1>
      <formula2>NbPerWeek * NbQuartPer</formula2>
    </dataValidation>
    <dataValidation type="list" allowBlank="1" showInputMessage="1" showErrorMessage="1" sqref="A67:A68 A15:A16 A18:A19 A32:A33 A35:A36 A48:A49 A51:A52 A64:A65 A74:A75 A80:A81 A83:A84 A42:A43 A4:A7 A9:A13 A29:A30 A45:A46 A58:A59 A61:A62 A77:A78 A25:A27">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3009"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3009" r:id="rId4" name="btnImportRealis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11</vt:i4>
      </vt:variant>
    </vt:vector>
  </HeadingPairs>
  <TitlesOfParts>
    <vt:vector size="18" baseType="lpstr">
      <vt:lpstr>Donnees</vt:lpstr>
      <vt:lpstr>DiagramHeader</vt:lpstr>
      <vt:lpstr>DiagramFooter</vt:lpstr>
      <vt:lpstr>PlanificationWeek</vt:lpstr>
      <vt:lpstr>Planning</vt:lpstr>
      <vt:lpstr>achievementWeek</vt:lpstr>
      <vt:lpstr>JNLTRAV</vt:lpstr>
      <vt:lpstr>datDateBegin</vt:lpstr>
      <vt:lpstr>lstTasks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Carbonara Christian</dc:creator>
  <cp:lastModifiedBy>Carbonara Christian</cp:lastModifiedBy>
  <cp:lastPrinted>2013-08-29T11:33:15Z</cp:lastPrinted>
  <dcterms:created xsi:type="dcterms:W3CDTF">1996-10-21T11:03:58Z</dcterms:created>
  <dcterms:modified xsi:type="dcterms:W3CDTF">2018-05-14T07:32:16Z</dcterms:modified>
</cp:coreProperties>
</file>